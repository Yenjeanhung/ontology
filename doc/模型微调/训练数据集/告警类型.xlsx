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Documents\我的坚果云\norin\国航\"/>
    </mc:Choice>
  </mc:AlternateContent>
  <bookViews>
    <workbookView windowWidth="20170" windowHeight="10820"/>
  </bookViews>
  <sheets>
    <sheet name="告警主规则" sheetId="1" r:id="rId1"/>
    <sheet name="简单直接逻辑判断" sheetId="3" r:id="rId2"/>
    <sheet name="定时任务" sheetId="5" r:id="rId3"/>
    <sheet name="跨对象取值判断" sheetId="6" r:id="rId4"/>
    <sheet name="AI算法" sheetId="8" r:id="rId5"/>
    <sheet name="插件" sheetId="12" r:id="rId6"/>
    <sheet name="其他" sheetId="11" r:id="rId7"/>
    <sheet name="统计" sheetId="14" r:id="rId8"/>
  </sheets>
  <definedNames>
    <definedName name="_xlnm._FilterDatabase" localSheetId="5" hidden="1">插件!$A$1:$J$7</definedName>
    <definedName name="_xlnm._FilterDatabase" localSheetId="0" hidden="1">告警主规则!$A$1:$K$42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<sst xmlns="http://schemas.openxmlformats.org/spreadsheetml/2006/main" count="718" uniqueCount="296">
  <si>
    <t>告警类型</t>
  </si>
  <si>
    <t>数据项</t>
  </si>
  <si>
    <t>判断方法</t>
  </si>
  <si>
    <t>结果</t>
  </si>
  <si>
    <t>告警产生方式</t>
  </si>
  <si>
    <t>实现</t>
  </si>
  <si>
    <t>数据范围</t>
  </si>
  <si>
    <t>产生的结果</t>
  </si>
  <si>
    <t>疑问</t>
  </si>
  <si>
    <t>实现函数</t>
  </si>
  <si>
    <t>飞机故障监控</t>
  </si>
  <si>
    <t>飞机健康管理平台故障信息</t>
  </si>
  <si>
    <t>直接根据报文判定</t>
  </si>
  <si>
    <t>对该航班触发告警，航班相关信息，告警时间，故障描述，告警等级123，对飞机的影响</t>
  </si>
  <si>
    <t>判断</t>
  </si>
  <si>
    <t>监控实时报文实时分类
if 报文：
  告警分类</t>
  </si>
  <si>
    <t>1)发动机火警； 
2)APU火警；
3)货舱火警； 
4)发动机失效/关停；
5)液压系统关停；
6)空中颠簸；
7)燃油不平衡； 
8)发动机空中启动；
9)起落架未锁定；
10)座舱高度警告；
11)氧气面罩脱落；</t>
  </si>
  <si>
    <t>故障详情</t>
  </si>
  <si>
    <t>1、缺报文分类
2、缺报警结果描述规范</t>
  </si>
  <si>
    <t>滑行过久</t>
  </si>
  <si>
    <r>
      <rPr>
        <sz val="11"/>
        <color theme="1"/>
        <rFont val="宋体"/>
        <charset val="134"/>
        <scheme val="minor"/>
      </rPr>
      <t>航班相关信息，当前机场信息，航班实时数据（位置-经纬高、起飞落地推入推出时间、开舱门时间）、</t>
    </r>
    <r>
      <rPr>
        <sz val="11"/>
        <color rgb="FFFF0000"/>
        <rFont val="宋体"/>
        <charset val="134"/>
        <scheme val="minor"/>
      </rPr>
      <t>停机位坐标</t>
    </r>
    <r>
      <rPr>
        <sz val="11"/>
        <color theme="1"/>
        <rFont val="宋体"/>
        <charset val="134"/>
        <scheme val="minor"/>
      </rPr>
      <t>？</t>
    </r>
    <r>
      <rPr>
        <sz val="11"/>
        <color rgb="FFFF0000"/>
        <rFont val="宋体"/>
        <charset val="134"/>
        <scheme val="minor"/>
      </rPr>
      <t>标准滑出时间、标准滑入时间？</t>
    </r>
  </si>
  <si>
    <t>1、出港：收到推出报文的情况下（或者根据ADSB判断推出)，在指定滑行时间未收到起飞报文，或推出后有连续10分钟未收到任何位置数据
(如推出时间小于班表起飞(STD)/预计起飞（ETD）时间60分钟，则不弹出滑行过久告警。（排除机务拖飞机误告警）)
2、进港：收到落地报文的情况下，在指定滑行时间内未收到推入报文，或航班最后几个位置点（排除数据跳变）不在停机位且停留10分钟以上</t>
  </si>
  <si>
    <t>对该航班触发告警，航班相关信息，告警时间，告警原因，滑行时间等</t>
  </si>
  <si>
    <t>对航班crontab
if 推出 or ADSB位置判断推出
  if 推出时间+60m&gt;STD/ETD
    if not 起飞:告警
    if 现在时间-最后一次位置时间&gt;10分钟:告警
if 落地
  if not 推入：告警
  if 最后一个位置不在停机位10分钟：告警</t>
  </si>
  <si>
    <r>
      <rPr>
        <sz val="11"/>
        <color theme="1"/>
        <rFont val="宋体"/>
        <charset val="134"/>
        <scheme val="minor"/>
      </rPr>
      <t>所有已推出未起飞</t>
    </r>
    <r>
      <rPr>
        <sz val="11"/>
        <color theme="1"/>
        <rFont val="宋体"/>
        <charset val="134"/>
        <scheme val="minor"/>
      </rPr>
      <t xml:space="preserve"> 或 已落地未推入</t>
    </r>
    <r>
      <rPr>
        <sz val="11"/>
        <color theme="1"/>
        <rFont val="宋体"/>
        <charset val="134"/>
        <scheme val="minor"/>
      </rPr>
      <t>的航班</t>
    </r>
  </si>
  <si>
    <t>推出时间XX:XX，航班已滑行XX分钟，因xx原因滑行过久</t>
  </si>
  <si>
    <t>1、告警情况是只要有一种满足就告警，还是每种情况都要告警？
2、货机推出时间是否有在60分钟之前的情况？
3、标准滑入时间和标准滑出时间是否一样？</t>
  </si>
  <si>
    <t>规则引擎支持SQL查询</t>
  </si>
  <si>
    <t>飞机滑回告警</t>
  </si>
  <si>
    <r>
      <rPr>
        <sz val="11"/>
        <color theme="1"/>
        <rFont val="宋体"/>
        <charset val="134"/>
        <scheme val="minor"/>
      </rPr>
      <t>航班相关信息，当前机场信息，航班实时数据（起飞落地推入推出时间）、</t>
    </r>
    <r>
      <rPr>
        <sz val="11"/>
        <color rgb="FFFF0000"/>
        <rFont val="宋体"/>
        <charset val="134"/>
        <scheme val="minor"/>
      </rPr>
      <t>不正常情况信息提取统计表</t>
    </r>
  </si>
  <si>
    <t>1、在同一机场地面推出报文接推入/开门报文，且飞机未收到起飞报文
2、收到滑回报</t>
  </si>
  <si>
    <t>对该航班触发告警，航班相关信息，告警原因</t>
  </si>
  <si>
    <t>对航班crontab
if 滑回报：告警，exit
if 推出 and 下一条就推入 and not 起飞
  if 推出时间+60m&gt;STD/ETD:告警</t>
  </si>
  <si>
    <t>到地面的航班</t>
  </si>
  <si>
    <t>航班于XX:XX推出，航班滑回。原因为：（滑回报）</t>
  </si>
  <si>
    <t>只告警一次</t>
  </si>
  <si>
    <t>二次开门告警</t>
  </si>
  <si>
    <t>航班相关信息，当前机场信息，航班实时数据（位置-经纬高、起飞落地推入推出时间）</t>
  </si>
  <si>
    <t>1、开舱门报在STD/ETD时刻减三十分钟之后
2、系统收到飞机关舱门报后未收到本航段起飞报，且本航段未收到过空中连续位置点
3、收到开舱门报，且开舱门报与关舱门报间隔大于10分钟</t>
  </si>
  <si>
    <t>对该航班触发告警，航班相关信息，告警时间，告警原因</t>
  </si>
  <si>
    <t>对航班crontab
if 开舱门：
  if 开舱门&gt;STD/ETD-30m:告警
  if 关舱门 and 关舱门-开舱门&gt;30m：告警
if 关舱门：
  if not 起飞 and not 位置点：告警</t>
  </si>
  <si>
    <t>开关舱门的</t>
  </si>
  <si>
    <t>关门时间XX，开门时间，现在时间，因x原因</t>
  </si>
  <si>
    <t>大面积延误提醒</t>
  </si>
  <si>
    <t>飞行计划（计划起飞时间），航班实时数据（实际起飞时间）</t>
  </si>
  <si>
    <t>1、当某一机场/区域当前时刻前后三小时航班CDM预计起飞时间(CTOT)晚于班表时间60分钟超过10班(可设置)，产生大面积延误预警
2、当某一机场/区域6小时之内超时未起航班告警数量达到10个（可设置）则生成机场大面积延误告警
3、同一机场大面积延误预警/告警当天只产生一次</t>
  </si>
  <si>
    <t>机场延误预警/告警，延误航班列表</t>
  </si>
  <si>
    <t>对机场crontab
for 前后3小时内的航班
  if CTOT&gt;预计起飞时间+60m
    获取那些航班
if 延误航班数&gt;10：告警</t>
  </si>
  <si>
    <t>机场</t>
  </si>
  <si>
    <t>乌齐机场，受XX影响，目前延误超过60分钟xx班次，其中已起飞XX班，未起飞XX班，平均延误XX分钟</t>
  </si>
  <si>
    <t>航班各保障节点</t>
  </si>
  <si>
    <r>
      <rPr>
        <sz val="11"/>
        <color theme="1"/>
        <rFont val="宋体"/>
        <charset val="134"/>
        <scheme val="minor"/>
      </rPr>
      <t>航班实时数据ACARS（推入推出等处置时间），航班保障各节点数据（上客结柜拖车等工作时间）、</t>
    </r>
    <r>
      <rPr>
        <sz val="11"/>
        <color rgb="FFFF0000"/>
        <rFont val="宋体"/>
        <charset val="134"/>
        <scheme val="minor"/>
      </rPr>
      <t>运行限制类通告</t>
    </r>
  </si>
  <si>
    <t>通过各种时间判定飞机开关门、滑入滑出、滑行过久、延误等</t>
  </si>
  <si>
    <t>告警信息，航班信息</t>
  </si>
  <si>
    <t>对航班crontab
if 开关门滑入滑出时间有问题：告警</t>
  </si>
  <si>
    <t>航班</t>
  </si>
  <si>
    <t>航班，xx时间，xx告警，原因</t>
  </si>
  <si>
    <t>偏航</t>
  </si>
  <si>
    <t>飞行计划，航班实时数据（位置-经纬高时间）</t>
  </si>
  <si>
    <t>实际飞行高度到达6000M（可设置）以上高度，实时对比航班实际飞行位置与计划航路连线中的最短距离，大于100Km（可设置）时告警</t>
  </si>
  <si>
    <t>偏航告警，偏航距离，计划航路与实际航迹</t>
  </si>
  <si>
    <t>计算</t>
  </si>
  <si>
    <t>对航班crontab
if 飞行高度&gt;6000m
  if 飞机当前位置点到计划航路的线垂直距离&gt;100km:告警</t>
  </si>
  <si>
    <t>计划航路外的航班</t>
  </si>
  <si>
    <t>航班，偏航位置，偏航距离</t>
  </si>
  <si>
    <t>点到航路的最短距离</t>
  </si>
  <si>
    <t>盘旋等待</t>
  </si>
  <si>
    <t>航班实时数据（位置-经纬高时间）</t>
  </si>
  <si>
    <t>实际飞行高度到达300米（可设置）以上，30min（可设置）内飞行轨迹形成闭合的两圈则触发一级告警
再盘旋30min触发二级告警</t>
  </si>
  <si>
    <t>告警航班信息，盘旋圈数</t>
  </si>
  <si>
    <t>对航班crontab
if 飞行高度&gt;300m and 30分钟前飞行高度&gt;300m
  if 这30分钟内位置点闭合两次
    if 60分钟前飞行高度&gt;300m and 60-30分钟前的时间内位置点闭合两次：二级告警
    else：一级告警</t>
  </si>
  <si>
    <t>飞行轨迹闭合的航班</t>
  </si>
  <si>
    <t>x航班，在乌鲁木齐上空（xx区域）盘旋等待</t>
  </si>
  <si>
    <t>轨迹能精确闭合？</t>
  </si>
  <si>
    <t>定逻辑</t>
  </si>
  <si>
    <t>复飞</t>
  </si>
  <si>
    <r>
      <rPr>
        <sz val="11"/>
        <color theme="1"/>
        <rFont val="宋体"/>
        <charset val="134"/>
        <scheme val="minor"/>
      </rPr>
      <t>航班实时数据（位置-经纬高时间），目的机场信息，</t>
    </r>
    <r>
      <rPr>
        <sz val="11"/>
        <color rgb="FFFF0000"/>
        <rFont val="宋体"/>
        <charset val="134"/>
        <scheme val="minor"/>
      </rPr>
      <t>目的地机场进场图</t>
    </r>
  </si>
  <si>
    <t>实际高度下降至目的地机场过度高度（可通过目的地机场进场图查得）以下时，航班高度先下降120秒，然后转90秒上升（60%位置处于上升），且上升下降阶段需100m高度差，则触发告警
如同一航班出现二次复飞，触发二次复飞告警</t>
  </si>
  <si>
    <t>告警航班信息，复飞跑道，复飞详情</t>
  </si>
  <si>
    <t>对航班crontab
if 飞行高度&lt;机场过度高度
  if 一段飞行中有飞行最低点并且最低点前连续下降120s然后连续上升90s：
    if abs(120s下降高度-90s上升高度)&gt;100m：告警</t>
  </si>
  <si>
    <t>下降至目的地机场过度高度的航班</t>
  </si>
  <si>
    <t>航班，下降上升高度时间，复飞跑道，最低高度</t>
  </si>
  <si>
    <t>当航班实际高度下降至目的地机场过度高度 怎么计算？</t>
  </si>
  <si>
    <t>参考文档计算输出结果对象</t>
  </si>
  <si>
    <t>4D15</t>
  </si>
  <si>
    <t xml:space="preserve">飞行计划，航班实时数据（位置-经纬高时间）                                                                                                                                                                                                                                                                                                                                                                                                                                                                                                                                                                                                                                                                                                                                                                                                                                                                                                                                                                                                                                                                                                                                                                                                                                                                                                                                                                                                                                                                                                                                                                                                                                                                                                                                                                                                                                                                                                                                                                                                                                                                                                                                                                                                                                                                                                                                                                                                                                                                                                                                                                                                                                                                                                                                                                                                                                                                                                                                                                                                                                                                                                                                                                                                                                                                                                                                                                                                                                                                                                                                                                                                                                                                                                                                                                                                                                                                                                                                                                                                                                                                                                                                                                                                                                                                                                                                                                                                                                                                                                                                                                                                                                                                                                                                                                                                                                                                                                                                                                                                                                                                                                                                                                                                                                                                                                                                                                                                                                                                                                                                                                                                                                                                                                                                                                                                                                                                                                                                                                                                                                                                                                                                                                                                                                                                                                                                                                                                                                                                                                                                                                                                                                                                                                                                                                                                                                                                                                                                                                                                                                                                                                                                                                                                                                                                                                                                                                                                                                                                                                                                                                                                                                                                                                                                                                                                                                                                                                                                                                                                                                                                                                                                                                                                                                                                                                                                                                                                                                                                                                                                                                                                                                                                                                                                                                                                                                                                                                                                                                                                                                                                                                                                                                                                                                                                                                                                                                                                                                                                                                                                                                                                                                                                                                                                                                                                                                                                                                                                                                                                                                                                                                                                                                                                                                                                                                                                                                                                                                                                                                                                                                                                                                                                                                                                                                                                                                                                                                                                                                                                                                                                                                                                                                                                                                                                                                                                                                                                                                                                                                                                                                                                                                                                                                                                                                                                                                                                                                                                                                                                                                                                                                                                                                                                                                                                                                                                                                                                                                                                                                                                                                                                                                                                                                                                                                                                                                                                                                                                                                                                                                                                                                                                                                                                                                                                                                                                                                                                                                                                                                                                                                                                                                                                                                                                                                                                                                                                                                                                                                                                                                                                                                                                                                                                                                                                                                                                                                                                                                                                                                                                                                                                                                                                                                                                                                                                                                                                                                                                                                                                                                                                                                                                                                                                                                                                                                                                                                                                                                                                                                                                                                                                                                                                                                                                                                                                                                                                                                                                                                                                                                                                                                                                                                                                                                                                                                                                                                                                                                                                                                                                                                                                                                                                                                                                                                                                                                                                                                                                                                                                                                                                                                                                                                                                                                                                                                                                                                                                                                                                                                                                                                                                                                                                                                                                                                                                                                                                                                                                                                                                                                                                                                                                                                                                                                                                                                                                                                                                                                                                                                                                                                                                                                                                                                                                                                                                                                                                                                                                                                                                                                                                                                                                                                                                                                                                                                                                                                                                                                                                                                                                                                                                                                                                                                                                                                                                                                                                                                                                                                                                                                                                                                                                                                                                                                                                                                                                                                                                                                                                                                                                                                                                                                                                                                                                                                                                                                                                                                                                                                                                                                                                                                                                                                                                                                                                                                                                                                                                                                                                                                                                                                                                                                                                                                                                                                                                                                                                                                                                                                                                                                                                                                                                                                                                                                                                                                                                                                                                                                                                                                                                                                                                                                                                                                                                                                                                                                                                                                                                                                                                                                                                                                                                                                                                                                                                                                                                                                                                                                                                                                                                                                                                                                                                                                                                                                                                                                                                                                                                                                                                                                                                                                                                                                                                                                                                                                                                                                                                                                                                                                            </t>
  </si>
  <si>
    <t>航班起飞到着陆之间，系统超过15分钟（可设置）未收到某个航班的4D位置信息（经纬高时刻）触发告警
根据当前位置和计划航路每30秒推测位置，直至航班信号恢复</t>
  </si>
  <si>
    <t>计划航路与实际和推测航迹</t>
  </si>
  <si>
    <t>对航班crontab
if 最后一次飞机位置数据时间+15分钟&lt;现在时间：
  告警
  推测接下来的位置
if 存在告警 and 现在还没有飞机位置数据：
  通过当前推测的位置继续推测接下来的位置</t>
  </si>
  <si>
    <t>没收到位置数据的航班</t>
  </si>
  <si>
    <t>航班，航班收到上份ACARS报文时间，推测位置</t>
  </si>
  <si>
    <t>航班4D信息未恢复时系统会根据飞机当前位置、速度、计划航路每30秒推测一个位置? 是否可以采用计划航路来磨练显示？？？</t>
  </si>
  <si>
    <t>中断起飞</t>
  </si>
  <si>
    <r>
      <rPr>
        <sz val="11"/>
        <color rgb="FFFF0000"/>
        <rFont val="宋体"/>
        <charset val="134"/>
        <scheme val="minor"/>
      </rPr>
      <t>跑道数据（经纬度）</t>
    </r>
    <r>
      <rPr>
        <sz val="11"/>
        <color theme="1"/>
        <rFont val="宋体"/>
        <charset val="134"/>
        <scheme val="minor"/>
      </rPr>
      <t>，航班实时数据（位置-经纬高时间）</t>
    </r>
  </si>
  <si>
    <t>1、航班滑入跑道后，轨迹停留在跑道上，或位置数据消失超过3分钟（可设置），告警
2、航班滑入跑道后，又出现滑出跑道的轨迹，并且速度达到60km/h（可设置）后，告警</t>
  </si>
  <si>
    <t>计划航路与实际航迹</t>
  </si>
  <si>
    <t>对航班crontab
if 滑入跑道：
  if 最后一次飞机位置数据时间+3分钟&lt;现在时间 or (滑入后有滑出 and 速度达到60km/h)：
    告警</t>
  </si>
  <si>
    <t>滑入跑道后不正常的航班</t>
  </si>
  <si>
    <t xml:space="preserve"> CA1295(B1234/B738)北京PEK0800-1000URC乌鲁木齐，因跑道原因航班中断起飞。</t>
  </si>
  <si>
    <t>高度为0：
1、进入跑道时间
2、滑出跑道时间
3、最大滑行速度</t>
  </si>
  <si>
    <t>高度突变</t>
  </si>
  <si>
    <r>
      <rPr>
        <sz val="11"/>
        <color theme="1"/>
        <rFont val="宋体"/>
        <charset val="134"/>
        <scheme val="minor"/>
      </rPr>
      <t>航班实时数据（位置-经纬高时间） ，</t>
    </r>
    <r>
      <rPr>
        <sz val="11"/>
        <color rgb="FFFF0000"/>
        <rFont val="宋体"/>
        <charset val="134"/>
        <scheme val="minor"/>
      </rPr>
      <t>运行高度数据集（历史巡航高度、历史最低巡航高度、航路最低安全高度、网格高度）</t>
    </r>
  </si>
  <si>
    <t xml:space="preserve">当航班出现下降率过大，高度变化异常时告警
（1）在进港航班（距目的机场300公里范围），过滤跳变点的基础上，在连续3分钟内出现首尾两个点高度下降大于等于4500米；
（2）除进港阶段的航班（不包含距目的机场300公里范围），一分钟时间内，首尾高度出现下降率超过1500m/min；
（3）连续爬升大于1分钟转为连续下降大于50秒，在爬升及下降阶段各加100M的高度差判断；
（4）连续下降大于1分钟转为连续爬升大于50秒，在爬升及下降阶段各加100M的高度差判断
</t>
  </si>
  <si>
    <t>计划与实际飞行高度剖面</t>
  </si>
  <si>
    <t xml:space="preserve">对航班crontab
if 3分钟前后高度&gt;=4500 or 1分钟前后下降高度&gt;1500 or 两分钟内先爬升1分钟转下降50s or 2分钟内先下降1分钟转爬升50s：告警
</t>
  </si>
  <si>
    <t>飞行不正常的航班</t>
  </si>
  <si>
    <t>CA1295(B1234/B738)北京PEK0800-1000URC乌鲁木齐，起飞后XX分钟，航班高度变化异常，下降率过快，原因为机械故障</t>
  </si>
  <si>
    <t>只看当前时间的？</t>
  </si>
  <si>
    <t>1、距离目的机场的距离
2、下降时间和高度（符合高度突变时记录)
3、转折点参考文档</t>
  </si>
  <si>
    <t>高度偏差</t>
  </si>
  <si>
    <r>
      <rPr>
        <sz val="11"/>
        <color theme="1"/>
        <rFont val="宋体"/>
        <charset val="134"/>
        <scheme val="minor"/>
      </rPr>
      <t>飞行计划，航班实时数据（位置-经纬高时间），</t>
    </r>
    <r>
      <rPr>
        <sz val="11"/>
        <color rgb="FFFF0000"/>
        <rFont val="宋体"/>
        <charset val="134"/>
        <scheme val="minor"/>
      </rPr>
      <t>运行高度数据集（历史巡航高度、历史最低巡航高度、航路最低安全高度、网格高度）</t>
    </r>
  </si>
  <si>
    <r>
      <rPr>
        <sz val="11"/>
        <color theme="1"/>
        <rFont val="宋体"/>
        <charset val="134"/>
        <scheme val="minor"/>
      </rPr>
      <t xml:space="preserve">当航班处于巡航阶段，且当前实际飞行高度与航班计划高度、历史最低高度两者中的较低值对比，偏差超过1200米（阈值可配置）,并维持15分钟（80%高度数据满足即可）时，触发告警
</t>
    </r>
    <r>
      <rPr>
        <b/>
        <sz val="11"/>
        <color theme="1"/>
        <rFont val="宋体"/>
        <charset val="134"/>
        <scheme val="minor"/>
      </rPr>
      <t>（巡航阶段判定：航班高度大于28000FT 或 爬升率降为0并持续飞行15分钟 或 达到历史最低巡航高度 或 达到爬升顶点高度）</t>
    </r>
  </si>
  <si>
    <t xml:space="preserve">对航班crontab
if 15分钟前到当前时间的 实际飞行高度-min(航班计划高度,历史最低高度)&gt;=1200：告警
</t>
  </si>
  <si>
    <t>飞高了的飞机</t>
  </si>
  <si>
    <t>CA1295(B1234/B738)北京PEK0800-1000URC乌齐，航班在XX区域发生高度偏差告警，飞行计划高度为：XXXX米，目前飞行高度：XXXX米，原因为空域可用高度受限</t>
  </si>
  <si>
    <t>1、中远程航线？？？
2、需要计算历史巡航高度</t>
  </si>
  <si>
    <t>1、历史巡航高度
2、巡航时长
3、巡航高度
4、航线的最低安全高度</t>
  </si>
  <si>
    <t>低高度</t>
  </si>
  <si>
    <r>
      <rPr>
        <sz val="11"/>
        <color theme="1"/>
        <rFont val="宋体"/>
        <charset val="134"/>
        <scheme val="minor"/>
      </rPr>
      <t>航班实时数据（位置-经纬高时间），</t>
    </r>
    <r>
      <rPr>
        <sz val="11"/>
        <color rgb="FFFF0000"/>
        <rFont val="宋体"/>
        <charset val="134"/>
        <scheme val="minor"/>
      </rPr>
      <t>运行高度数据集（历史巡航高度、历史最低巡航高度、航路最低安全高度、网格高度）</t>
    </r>
  </si>
  <si>
    <t>当航班处于巡航阶段，飞机的实际飞行高度巡航高度低于“‘航路最低安全高度+600米（阈值可设置）’和15000英尺”两者取较高值时告警</t>
  </si>
  <si>
    <t>飞行高度剖面图</t>
  </si>
  <si>
    <t xml:space="preserve">对航班crontab
if 巡航中
  if 当前时间的实际飞行高度&lt;max(航路最低安全高度+600米,15000ft)：告警
</t>
  </si>
  <si>
    <t>飞低了的飞机</t>
  </si>
  <si>
    <t>航班xx，低高度告警，当前飞行高度xxx</t>
  </si>
  <si>
    <t>参考高度偏差</t>
  </si>
  <si>
    <t>超时未落</t>
  </si>
  <si>
    <t>起飞落地报文，飞行计划</t>
  </si>
  <si>
    <t>航班起飞时间+飞行计划飞行时间+15分钟（阈值可调）仍未收到航班落地报，则触发告警</t>
  </si>
  <si>
    <t>航班信息，超时未落时间</t>
  </si>
  <si>
    <t>报文</t>
  </si>
  <si>
    <t xml:space="preserve">对航班crontab
if 航班起飞时间+飞行计划飞行时间+15分钟之后没有落地报：告警
</t>
  </si>
  <si>
    <t>未收到落地报的</t>
  </si>
  <si>
    <t>CA1295(B1234/B738)北京PEK0800-1000URC乌鲁木齐，航班超时未落15分钟，原因为：航路绕飞/备降。航班预达目的地机场/备降场时间为</t>
  </si>
  <si>
    <t>7500告警</t>
  </si>
  <si>
    <t>飞机应答机二次编码数据源（FDSS/ADS-B）</t>
  </si>
  <si>
    <t>根据接收到国航航班的7500、7600、7700应答机编码触发告警</t>
  </si>
  <si>
    <t>航班信息，飞机位置</t>
  </si>
  <si>
    <t>if 7500、7600、7700报文：告警</t>
  </si>
  <si>
    <t>收到报文的</t>
  </si>
  <si>
    <t>CA1101（B1217/B738）北京PEK20:35---22:00HET呼和浩特7700告警，航班于20:30起飞,飞机所在位置为首都机场西北100km、机载油量6吨。</t>
  </si>
  <si>
    <t>超重落地</t>
  </si>
  <si>
    <r>
      <rPr>
        <sz val="11"/>
        <color theme="1"/>
        <rFont val="宋体"/>
        <charset val="134"/>
        <scheme val="minor"/>
      </rPr>
      <t>飞行计划，ACARS报文，</t>
    </r>
    <r>
      <rPr>
        <sz val="11"/>
        <color rgb="FFFF0000"/>
        <rFont val="宋体"/>
        <charset val="134"/>
        <scheme val="minor"/>
      </rPr>
      <t>目的地机场运行限制类通告</t>
    </r>
  </si>
  <si>
    <r>
      <rPr>
        <sz val="11"/>
        <color theme="1"/>
        <rFont val="宋体"/>
        <charset val="134"/>
        <scheme val="minor"/>
      </rPr>
      <t xml:space="preserve">计算不同航班状态的ETA预达时间、燃油消耗量、燃油消耗率、预计落地重量，并与收到真实的ACARS报文比较判断是否超重落地
</t>
    </r>
    <r>
      <rPr>
        <b/>
        <sz val="11"/>
        <color theme="1"/>
        <rFont val="宋体"/>
        <charset val="134"/>
        <scheme val="minor"/>
      </rPr>
      <t>（ETA=当前时刻+航班位置与备降场距离/当前速度
燃油消耗率=计划中最近两个航路点的计划燃油差值/计划中最近两个航路点的时刻差值
预计消耗燃油=(ETA-当前时刻)*燃油消耗率
预计落地重量=实际无油ZFW+航班当前油量-预计消耗燃油量）</t>
    </r>
  </si>
  <si>
    <t>航班信息，超重数值</t>
  </si>
  <si>
    <t>if 预计着陆重量&gt;计划的航班最大着陆重量MLDW and 现在时刻在航班预达时间一小时之内：告警</t>
  </si>
  <si>
    <t xml:space="preserve">CA1101（B1217/B738）北京PEK20:35---22:00HET呼和浩特落地预计超重500kg，请处置。
</t>
  </si>
  <si>
    <t>缺数据计算不了怎么办</t>
  </si>
  <si>
    <t>1、预计落地重量
2、航班最大着陆重量MLDW
3、ETA</t>
  </si>
  <si>
    <t>起飞时间告警</t>
  </si>
  <si>
    <r>
      <rPr>
        <sz val="11"/>
        <color theme="1"/>
        <rFont val="宋体"/>
        <charset val="134"/>
        <scheme val="minor"/>
      </rPr>
      <t>人工录入的最早最晚起飞时间，航班实时数据（位置-经纬高、起飞落地推入推出时间），</t>
    </r>
    <r>
      <rPr>
        <sz val="11"/>
        <color rgb="FFFF0000"/>
        <rFont val="宋体"/>
        <charset val="134"/>
        <scheme val="minor"/>
      </rPr>
      <t>不正常情况信息（起飞时间未超限、起飞时间超限）</t>
    </r>
  </si>
  <si>
    <t>对设置最早起飞时间的航班，在最早起飞时间前推出则进行告警或飞机位置发生移动则进行告警（收到位置变化信息）
对设置最晚起飞时间的航班，在该时间前30分钟（可设置）未起飞进行告警</t>
  </si>
  <si>
    <t>航班信息，距离最早最晚起飞时间</t>
  </si>
  <si>
    <t>if 最早起飞时间前推出或移动 or 最晚起飞时间前30分钟没飞：告警</t>
  </si>
  <si>
    <t>早走、晚不走的</t>
  </si>
  <si>
    <t xml:space="preserve">"CA1295(B1234/B738)北京PEK0800-1000URC乌鲁木齐，起飞时间XX:XX，早于最早起飞时间XX:XX，请立即处置。
CA1295(B1234/B738)北京PEK0800-1000URC乌鲁木齐，起飞时间XX:XX，晚于最晚起飞时间XX:XX，请立即处置。"
</t>
  </si>
  <si>
    <t>时刻偏差告警</t>
  </si>
  <si>
    <t>根据飞行计划及实时轨迹实时对比，当前实际位置点的时间减飞行计划拆分点预计到达时间超过系统设定的阈值（一级15分钟，二级30分钟）时，产生告警</t>
  </si>
  <si>
    <t>偏差时间，计划航路与实际航迹</t>
  </si>
  <si>
    <t>if 飞行计划及实时轨迹交合处的时间差&gt;15分钟：
  一级告警，若大于30分钟，二级告警</t>
  </si>
  <si>
    <t>同位置不同时间的</t>
  </si>
  <si>
    <t xml:space="preserve">CA1101（B1217/B738）北京PEK20:35---22:00HET呼和浩特时刻偏差告警，实际到达航路点比计划晚30分钟，请处置。
</t>
  </si>
  <si>
    <t>1、计划航路的过点时间？</t>
  </si>
  <si>
    <t>1、当前航路点
2、当前时间
3、过点时间</t>
  </si>
  <si>
    <t>返航备降告警</t>
  </si>
  <si>
    <t>飞行计划，ACARS备降报文</t>
  </si>
  <si>
    <t>当收到航班返航备降报文，或人工录入备降信息时，产生告警</t>
  </si>
  <si>
    <t>备降机场，预达时间</t>
  </si>
  <si>
    <t>if 备降报文：告警</t>
  </si>
  <si>
    <t xml:space="preserve">"CA1295/B1234/B738
(北京PEK0800-1000URC乌鲁木齐）因xx原因备降兰州，预达时间xx：xx"
</t>
  </si>
  <si>
    <t>起始进近</t>
  </si>
  <si>
    <t>飞行计划，航班实时数据（位置-经纬高时间），气象数据集</t>
  </si>
  <si>
    <r>
      <rPr>
        <sz val="11"/>
        <color theme="1"/>
        <rFont val="宋体"/>
        <charset val="134"/>
        <scheme val="minor"/>
      </rPr>
      <t xml:space="preserve">当判断出航班退出巡航状态且对比预计着陆机场标准，当能见度、云高要素达到或低于最低运行标准乘指定系数（可调整）时、风速超标时、机场最新实况或特选气象报文中出现大雨时，触发起始进近告警
</t>
    </r>
    <r>
      <rPr>
        <b/>
        <sz val="11"/>
        <color theme="1"/>
        <rFont val="宋体"/>
        <charset val="134"/>
        <scheme val="minor"/>
      </rPr>
      <t>（退出巡航阶段判断：距离目的机场500公里且爬升率连续下降1分钟，下降高度差大于100米 或 距离eta时间30分钟 或 距离目的地机场200公里 或 到达下降顶点位置）</t>
    </r>
  </si>
  <si>
    <t>告警航班信息</t>
  </si>
  <si>
    <t>if 能见度、云高&lt;最低运行标准 or 风速超标 or 大雨：告警</t>
  </si>
  <si>
    <t>天气有问题不能飞的</t>
  </si>
  <si>
    <t xml:space="preserve">CA1295（B7892/B738）北京首都PEK15：05---19：25URC乌鲁木齐起始进近告警，云高30m（不满足标准项）
</t>
  </si>
  <si>
    <t>超时未起</t>
  </si>
  <si>
    <t>飞行计划，航班实时数据（起飞落地推入推出时间）</t>
  </si>
  <si>
    <t>当系统判断航班超过计划起飞时间+一定阈值（可配置）未收到起飞报文，则判断为超时未起飞，触发告警</t>
  </si>
  <si>
    <t>告警航班信息，计划起飞时间，现在时间差值</t>
  </si>
  <si>
    <t>if 起飞时间+一定时间未收到起飞报文：告警</t>
  </si>
  <si>
    <t>说飞不飞</t>
  </si>
  <si>
    <t xml:space="preserve">CA1295/B1234/B738(北京PEK0800-1000URC乌鲁木齐)，班表起飞时间XX:XX，因飞机故障已超过1小时未起飞，本场流控CDM时间为xx:xx,请关注起飞时间。
</t>
  </si>
  <si>
    <t>大面积备降</t>
  </si>
  <si>
    <t>ACARS备降报文</t>
  </si>
  <si>
    <t>系统根据AFTN、SITA、ACARS等报文，识别航班的备降情况，当某一机场或区域（同一城市两个机场）单位时间内出现5班及以上（数量自定义）航班备降时，触发大面积备降告警</t>
  </si>
  <si>
    <t>大面积备降发生机场/区域，告警时间</t>
  </si>
  <si>
    <t>对机场crontab
if 单位时间内的航班备降到某个机场重复率&gt;5：对这些机场告警</t>
  </si>
  <si>
    <t>XX机场/XX区域发生大面积备降</t>
  </si>
  <si>
    <t>进港波次监控列表</t>
  </si>
  <si>
    <t>飞行计划，航班实时数据</t>
  </si>
  <si>
    <t>监控系统可实现根据指定的落地机场和过滤条件，过滤出需要的航班列表</t>
  </si>
  <si>
    <t>航班列表和详细信息</t>
  </si>
  <si>
    <t>业务</t>
  </si>
  <si>
    <t>不良天气上传</t>
  </si>
  <si>
    <t>飞行计划，METAR、TAF、SPECI气象报文</t>
  </si>
  <si>
    <t>监控系统根据设定逻辑对机场天气信息气象报文进行筛选和提示，并自动将天气通过ACARS上行电报方式上传至飞机，自动方式失败时进行提示并转为人工ACARS上传</t>
  </si>
  <si>
    <t>不良天气</t>
  </si>
  <si>
    <t>业务，上传气象报文并分类提示</t>
  </si>
  <si>
    <t>飞机实时可用高度提醒</t>
  </si>
  <si>
    <r>
      <rPr>
        <sz val="11"/>
        <color theme="1"/>
        <rFont val="宋体"/>
        <charset val="134"/>
        <scheme val="minor"/>
      </rPr>
      <t>航班实时数据，</t>
    </r>
    <r>
      <rPr>
        <sz val="11"/>
        <color rgb="FFFF0000"/>
        <rFont val="宋体"/>
        <charset val="134"/>
        <scheme val="minor"/>
      </rPr>
      <t>运行高度数据集（历史巡航高度、历史最低巡航高度、航路最低安全高度、网格高度）</t>
    </r>
  </si>
  <si>
    <r>
      <rPr>
        <sz val="11"/>
        <color theme="1"/>
        <rFont val="宋体"/>
        <charset val="134"/>
        <scheme val="minor"/>
      </rPr>
      <t xml:space="preserve">飞机进入巡航状态后，根据飞机状态和当前位置，比对航路最低安全高度、网格高度、最低偏航高度信息，判定当前位置所对应的四类最低安全高度的最高值，当飞机高度低于上述高度限制最高值之上600（可设定）米时告警
</t>
    </r>
    <r>
      <rPr>
        <b/>
        <sz val="11"/>
        <color theme="1"/>
        <rFont val="宋体"/>
        <charset val="134"/>
        <scheme val="minor"/>
      </rPr>
      <t>网络最低偏航高度：对经纬度网格内提供对地形和人工障碍物的超障余度
航路最低偏航高度：航路中心线和定位点10nm以内提供超越参考点障碍物的超障余度
最低航路高度：无线电定位点之间所公布的高度</t>
    </r>
  </si>
  <si>
    <t>可用高度</t>
  </si>
  <si>
    <t>对航班crontab
if 巡航中
  if 当前时间的实际飞行高度+600m &lt; max(航路最低安全高度，网格高度，最低偏航高度信息)：告警</t>
  </si>
  <si>
    <t>CA1295(B1234/B738)北京PEK0800-1000URC乌鲁木齐，航班目前高度为：XXXX米，原因为：机械故障。航班预达目的地机场时间为</t>
  </si>
  <si>
    <t>最低安全飞行高度、网格高度、最低偏航高度</t>
  </si>
  <si>
    <t>1、当前高度
2、三种情况的安全高度</t>
  </si>
  <si>
    <t>油量偏差</t>
  </si>
  <si>
    <r>
      <rPr>
        <sz val="11"/>
        <color theme="1"/>
        <rFont val="宋体"/>
        <charset val="134"/>
        <scheme val="minor"/>
      </rPr>
      <t>飞行计划，航班实时数据，</t>
    </r>
    <r>
      <rPr>
        <sz val="11"/>
        <color rgb="FFFF0000"/>
        <rFont val="宋体"/>
        <charset val="134"/>
        <scheme val="minor"/>
      </rPr>
      <t>不正常情况信息（飞机漏油等）</t>
    </r>
  </si>
  <si>
    <t>根据飞行计划相关数据、ACARS位置报相关数据，计算飞机所在位置当前油量（邻近插值计算）并与对应计划航路点的计划油量进行差值，当偏差值大于设定阈值（可设定）告警</t>
  </si>
  <si>
    <t>油量偏差数值</t>
  </si>
  <si>
    <t>if 计划油量和当前油量插值&gt;xx：告警</t>
  </si>
  <si>
    <t>油量有差的</t>
  </si>
  <si>
    <t>CA1295(B1234/B738)北京PEK0800-1000URC乌鲁木齐，航班目前燃油量为：XXXXKG，原因为：航班机械故障。航班预达目的地机场时间为</t>
  </si>
  <si>
    <t>1、计划油量</t>
  </si>
  <si>
    <t>低油量</t>
  </si>
  <si>
    <r>
      <rPr>
        <sz val="11"/>
        <color theme="1"/>
        <rFont val="宋体"/>
        <charset val="134"/>
        <scheme val="minor"/>
      </rPr>
      <t>飞行计划，航班实时数据，</t>
    </r>
    <r>
      <rPr>
        <sz val="11"/>
        <color rgb="FFFF0000"/>
        <rFont val="宋体"/>
        <charset val="134"/>
        <scheme val="minor"/>
      </rPr>
      <t>不正常情况信息（飞机漏油等）、30分钟等待油</t>
    </r>
  </si>
  <si>
    <t>根据飞行计划相关数据、ACARS数据等，计算飞机当前油量与设定油量进行对比，当油量低于阈值（可设定，未备降+30分钟等待油+备降用油，备降+30分钟等待油）弹出告警</t>
  </si>
  <si>
    <t>告警时间，当前实际油量</t>
  </si>
  <si>
    <t>if 油量&lt;xx阈值（未备降时+30分钟等待油+备降用油，备降时+30分钟等待油）：告警</t>
  </si>
  <si>
    <t>油不够的</t>
  </si>
  <si>
    <t xml:space="preserve">CA1295(B1234/B738)北京PEK0800-1000URC乌鲁木齐，航班在XX区域发生低油量告警，飞行计划油量为：XXXXkg，目前飞行油量：XXXXkg，原因为飞机漏油。
</t>
  </si>
  <si>
    <t>油量缺失</t>
  </si>
  <si>
    <r>
      <rPr>
        <sz val="11"/>
        <color theme="1"/>
        <rFont val="宋体"/>
        <charset val="134"/>
        <scheme val="minor"/>
      </rPr>
      <t>ACARS报文，</t>
    </r>
    <r>
      <rPr>
        <sz val="11"/>
        <color rgb="FFFF0000"/>
        <rFont val="宋体"/>
        <charset val="134"/>
        <scheme val="minor"/>
      </rPr>
      <t>不正常情况信息（飞机保留故障，无法下发位置报或报文中油量信息无法获取）</t>
    </r>
  </si>
  <si>
    <t>记录最新一份下发ACARS位置报内的时间（而非地面系统实际接收报文时间），若在此最新一份报文后设置的时间内35分钟（可设置），仍未收到新的ACARS报文中的油量信息，则弹出油量缺失告警</t>
  </si>
  <si>
    <t>告警时间</t>
  </si>
  <si>
    <t>if 最新的报文+35分钟的时刻都未收到新的油量报文：告警</t>
  </si>
  <si>
    <t>未收到油量报的</t>
  </si>
  <si>
    <t>xx航班，告警触发时间，原因xx</t>
  </si>
  <si>
    <t>1、最后油量时间</t>
  </si>
  <si>
    <t>落地保护油</t>
  </si>
  <si>
    <t>飞行计划，ACARS数据</t>
  </si>
  <si>
    <t>根据飞行计划、ACARS数据，计算飞机所在位置当前油量（实际油量或推测油量）与该机型90分钟（可设定）的航路巡航耗油进行差值，当前油量（实际油量或推测油量）小于该机型90分钟的航路巡航耗油时，产生告警
如果航班发生返航备降，则落地保护油告警关闭。</t>
  </si>
  <si>
    <t>落地保护油数值</t>
  </si>
  <si>
    <t>if not 返航备降
  if 当前油量&lt;该机型90分钟的航路巡航耗油时：告警</t>
  </si>
  <si>
    <t>CA1295(B1234/B738)北京PEK0800-1000URC乌鲁木齐，航班在XX区域发生落地保护油告警，飞行计划油量为：XXXXkg，目前飞行油量：XXXXkg，原因为偏航</t>
  </si>
  <si>
    <t>重点航班分类</t>
  </si>
  <si>
    <t>飞行计划，航班实时数据，气象数据集</t>
  </si>
  <si>
    <t>系统可按规则，将符合条件的航班自动标记为重点航班（重点监控-红色，重点关注-橙色）
监控航班包括：人工勾选，数字化风险评估值为10的航班，7500、7600、7700和故障II类告警航班，航班起飞后20分钟且在（航班预达时间-120min至航班着陆时间段）内目的地机场天气标准实况/预报低于航班运行标准的情况
关注航班包括：人工勾选，VV航班，预达时间距机场运行时间限制开始前30分钟的航班，3%不可预期燃油航班，航班航线运行中需穿越临时划定的禁区限制区的航班</t>
  </si>
  <si>
    <t>重点监控/关注航班详细信息，加入列表的开始结束时间</t>
  </si>
  <si>
    <t>条件分类</t>
  </si>
  <si>
    <t>重点监控列表航班显示</t>
  </si>
  <si>
    <t>同上</t>
  </si>
  <si>
    <t>建立重点航班监控列表,实现上述快捷航班定位，运行关键状态（OOOI）告警提示</t>
  </si>
  <si>
    <t>分类列表显示</t>
  </si>
  <si>
    <t>不可预期燃油3%航班的运行监控</t>
  </si>
  <si>
    <r>
      <rPr>
        <sz val="11"/>
        <color theme="1"/>
        <rFont val="宋体"/>
        <charset val="134"/>
        <scheme val="minor"/>
      </rPr>
      <t>飞行计划，ACARS数据，</t>
    </r>
    <r>
      <rPr>
        <sz val="11"/>
        <color rgb="FFFF0000"/>
        <rFont val="宋体"/>
        <charset val="134"/>
        <scheme val="minor"/>
      </rPr>
      <t>不正常情况信息（飞机漏油等）</t>
    </r>
  </si>
  <si>
    <t>根据飞行计划相关数据、ACARS位置报相关数据以及配载相关数据，飞机所在位置当前油量-（最近的计划航路拆分点油量-酌情携带的额外油）&lt;计划中的3%不可预期燃油值时，弹出告警</t>
  </si>
  <si>
    <t>3%油量偏差数值</t>
  </si>
  <si>
    <t>if 当前油量-（最近的计划航路拆分点油量-酌情携带的额外油）&lt;计划航程燃油的3%：告警</t>
  </si>
  <si>
    <t>油不够了的航班</t>
  </si>
  <si>
    <t>CA1295(B1234/B738)北京PEK0800-1000URC乌鲁木齐，航班在XX区域发生3%不可预期燃油告警，飞行计划油量为：XXXXkg，目前飞行油量：XXXXkg，原因为XXXX。</t>
  </si>
  <si>
    <t>告警显示方式</t>
  </si>
  <si>
    <t>监控平台自动实时获取航班轨迹和飞行计划，按照航班告警逻辑和告警处置规则，识别航班告警动作，对异常情况加入告警列表，详细记录航班的告警时间，并可快速定位异常航班位置</t>
  </si>
  <si>
    <t>告警时间，告警详情</t>
  </si>
  <si>
    <t>监控平台自动实时获取航班轨迹和飞行计划</t>
  </si>
  <si>
    <t>告警列表功能</t>
  </si>
  <si>
    <t>系统弹出告警信息之后，显示各种信息</t>
  </si>
  <si>
    <t>双击告警列表可以调取航班的实时轨迹和计划航路,其中高度类告警告警双击显示高度剖面、油量类告警双击显示油量剖面图，重要位置点告警双击显示飘降/释压点，二放点</t>
  </si>
  <si>
    <t>告警处置流程</t>
  </si>
  <si>
    <t>用户点击告警栏中铅笔头图标，进入告警处置界面进行告警处置操作</t>
  </si>
  <si>
    <t>根据告警类型及内容，可人工配置告警处置流程及对应的操作内容，并记录操作时间及人员</t>
  </si>
  <si>
    <t>影响信息地空传递</t>
  </si>
  <si>
    <t>航行通告，气象数据集</t>
  </si>
  <si>
    <t>提示席位有新通告或气象等影响因素，人工判断是否需要发送；如需发送则人工编辑ACARS发送，关联发放模板。重点实现对空中机组新增NOTAM或报文等影响运行因素的通知功能
功能同 不良天气上传</t>
  </si>
  <si>
    <t>不良天气，对航班的影响</t>
  </si>
  <si>
    <t>报文通知</t>
  </si>
  <si>
    <t>历史告警查询</t>
  </si>
  <si>
    <t>各航班告警数据</t>
  </si>
  <si>
    <t>历史告警查询功能可对指定时间内的所有告警日志进行统一的存储（不少于90日历日），方便使用人员进行查询、统计、分析、导出等操作</t>
  </si>
  <si>
    <t>查询界面</t>
  </si>
  <si>
    <t>历史告警信息查询界面</t>
  </si>
  <si>
    <t>历史偏航统计</t>
  </si>
  <si>
    <t>各航班偏航告警</t>
  </si>
  <si>
    <t>对于已经出现的偏航事件进行统计，主要通过偏航事件的共性特征，找出符合定义的常态化偏航的航段。将常态化偏航的报告以航迹叠加的形式显示和发布</t>
  </si>
  <si>
    <t>偏航报告</t>
  </si>
  <si>
    <t>偏航类型和程度分类</t>
  </si>
  <si>
    <t>历史运行高度统计</t>
  </si>
  <si>
    <t>航班实时运行高度值</t>
  </si>
  <si>
    <t>包括对于历史平均高度和历史最低高度的统计。历史平均高度以高度剖面的形式呈现，历史最低高度将作为历史最低高度告警的标准值。历史运行高度统计按季度进行，每个季度更新一次统计结果</t>
  </si>
  <si>
    <t>按季度输出“航线-机型-历史平均高度-历史最低高度”对照表</t>
  </si>
  <si>
    <t>统计</t>
  </si>
  <si>
    <t>按季度统计</t>
  </si>
  <si>
    <t>航班历史运行参数统计</t>
  </si>
  <si>
    <t>航班实时运行数据</t>
  </si>
  <si>
    <t xml:space="preserve">系统对以下运行参数进行统计：每个航班经过每个航路点的高度、速度、油量、时间。
这些历史统计数据将作为进行油量分析、高度告警、油量告警等业务的支持数据，参与系统计算
</t>
  </si>
  <si>
    <t>历史运行数据库</t>
  </si>
  <si>
    <t>可查看历史做分析</t>
  </si>
  <si>
    <t>类型</t>
  </si>
  <si>
    <t>数量</t>
  </si>
  <si>
    <t>简单直接逻辑判断</t>
  </si>
  <si>
    <t>定时任务</t>
  </si>
  <si>
    <t>跨对象取值判断</t>
  </si>
  <si>
    <t>AI算法</t>
  </si>
  <si>
    <t>插件</t>
  </si>
  <si>
    <t>其他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</si>
</sst>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1"/>
      <color theme="1"/>
      <name val="宋体"/>
      <charset val="134"/>
      <scheme val="minor"/>
    </font>
    <font>
      <sz val="11"/>
      <name val="宋体"/>
      <charset val="134"/>
      <scheme val="minor"/>
    </font>
    <font>
      <sz val="11"/>
      <color rgb="FFFF0000"/>
      <name val="宋体"/>
      <charset val="134"/>
      <scheme val="minor"/>
    </font>
    <font>
      <sz val="11"/>
      <color rgb="FFFF000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theme="1"/>
      <name val="宋体"/>
      <charset val="134"/>
      <scheme val="minor"/>
    </font>
  </fonts>
  <fills count="38">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0000"/>
        <bgColor indexed="64"/>
      </patternFill>
    </fill>
    <fill>
      <patternFill patternType="solid">
        <fgColor theme="0" tint="-0.149998474074526"/>
        <bgColor indexed="64"/>
      </patternFill>
    </fill>
    <fill>
      <patternFill patternType="solid">
        <fgColor theme="6"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7"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8" borderId="5" applyNumberFormat="0" applyAlignment="0" applyProtection="0">
      <alignment vertical="center"/>
    </xf>
    <xf numFmtId="0" fontId="15" fillId="9" borderId="6" applyNumberFormat="0" applyAlignment="0" applyProtection="0">
      <alignment vertical="center"/>
    </xf>
    <xf numFmtId="0" fontId="16" fillId="9" borderId="5" applyNumberFormat="0" applyAlignment="0" applyProtection="0">
      <alignment vertical="center"/>
    </xf>
    <xf numFmtId="0" fontId="17" fillId="10"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4" fillId="35" borderId="0" applyNumberFormat="0" applyBorder="0" applyAlignment="0" applyProtection="0">
      <alignment vertical="center"/>
    </xf>
    <xf numFmtId="0" fontId="24" fillId="36" borderId="0" applyNumberFormat="0" applyBorder="0" applyAlignment="0" applyProtection="0">
      <alignment vertical="center"/>
    </xf>
    <xf numFmtId="0" fontId="23" fillId="37" borderId="0" applyNumberFormat="0" applyBorder="0" applyAlignment="0" applyProtection="0">
      <alignment vertical="center"/>
    </xf>
  </cellStyleXfs>
  <cellXfs count="28">
    <xf numFmtId="0" fontId="0" fillId="0" borderId="0" xfId="0"/>
    <xf numFmtId="0" fontId="0" fillId="0" borderId="1" xfId="0" applyBorder="1"/>
    <xf numFmtId="0" fontId="0" fillId="0" borderId="0" xfId="0" applyAlignment="1">
      <alignment vertical="center"/>
    </xf>
    <xf numFmtId="0" fontId="0" fillId="2" borderId="0" xfId="0" applyFill="1"/>
    <xf numFmtId="0" fontId="0" fillId="0" borderId="1" xfId="0" applyBorder="1" applyAlignment="1">
      <alignment vertical="center" wrapText="1"/>
    </xf>
    <xf numFmtId="0" fontId="0" fillId="0" borderId="1" xfId="0" applyBorder="1" applyAlignment="1">
      <alignment vertical="center"/>
    </xf>
    <xf numFmtId="0" fontId="0" fillId="2" borderId="1" xfId="0" applyFill="1" applyBorder="1" applyAlignment="1">
      <alignment vertical="center" wrapText="1"/>
    </xf>
    <xf numFmtId="0" fontId="0" fillId="2" borderId="1" xfId="0" applyFill="1" applyBorder="1" applyAlignment="1">
      <alignment vertical="center"/>
    </xf>
    <xf numFmtId="0" fontId="0" fillId="3" borderId="1" xfId="0" applyFill="1" applyBorder="1" applyAlignment="1">
      <alignment vertical="center" wrapText="1"/>
    </xf>
    <xf numFmtId="0" fontId="0" fillId="3" borderId="1" xfId="0" applyFill="1" applyBorder="1" applyAlignment="1">
      <alignment vertical="center"/>
    </xf>
    <xf numFmtId="0" fontId="1" fillId="0" borderId="1" xfId="0" applyFont="1" applyBorder="1" applyAlignment="1">
      <alignment vertical="center" wrapText="1"/>
    </xf>
    <xf numFmtId="0" fontId="2" fillId="4" borderId="1" xfId="0" applyFont="1" applyFill="1" applyBorder="1" applyAlignment="1">
      <alignment vertical="center" wrapText="1"/>
    </xf>
    <xf numFmtId="0" fontId="0" fillId="4" borderId="1" xfId="0" applyFill="1" applyBorder="1" applyAlignment="1">
      <alignment vertical="center"/>
    </xf>
    <xf numFmtId="0" fontId="0" fillId="0" borderId="0" xfId="0" applyAlignment="1">
      <alignment vertical="center" wrapText="1"/>
    </xf>
    <xf numFmtId="0" fontId="0" fillId="5" borderId="1" xfId="0" applyFill="1" applyBorder="1" applyAlignment="1">
      <alignment vertical="center" wrapText="1"/>
    </xf>
    <xf numFmtId="0" fontId="0" fillId="5" borderId="1" xfId="0" applyFill="1" applyBorder="1" applyAlignment="1">
      <alignment vertical="center"/>
    </xf>
    <xf numFmtId="0" fontId="0" fillId="0" borderId="1" xfId="0" applyFill="1" applyBorder="1" applyAlignment="1">
      <alignment vertical="center" wrapText="1"/>
    </xf>
    <xf numFmtId="0" fontId="0" fillId="0" borderId="1" xfId="0" applyFill="1" applyBorder="1" applyAlignment="1">
      <alignment vertical="center"/>
    </xf>
    <xf numFmtId="0" fontId="0" fillId="0" borderId="0" xfId="0" applyFill="1" applyAlignment="1">
      <alignment vertical="center"/>
    </xf>
    <xf numFmtId="0" fontId="3" fillId="5" borderId="1" xfId="0" applyFont="1" applyFill="1" applyBorder="1" applyAlignment="1">
      <alignment vertical="center" wrapText="1"/>
    </xf>
    <xf numFmtId="0" fontId="0" fillId="2" borderId="0" xfId="0" applyFill="1" applyAlignment="1">
      <alignment vertical="center"/>
    </xf>
    <xf numFmtId="0" fontId="3" fillId="2" borderId="1" xfId="0" applyFont="1" applyFill="1" applyBorder="1" applyAlignment="1">
      <alignment vertical="center" wrapText="1"/>
    </xf>
    <xf numFmtId="0" fontId="4" fillId="2" borderId="0" xfId="0" applyFont="1" applyFill="1" applyAlignment="1">
      <alignment vertical="center"/>
    </xf>
    <xf numFmtId="0" fontId="3" fillId="2" borderId="1" xfId="0" applyFont="1" applyFill="1" applyBorder="1" applyAlignment="1">
      <alignment vertical="center"/>
    </xf>
    <xf numFmtId="0" fontId="3" fillId="2" borderId="0" xfId="0" applyFont="1" applyFill="1" applyAlignment="1">
      <alignment vertical="center"/>
    </xf>
    <xf numFmtId="0" fontId="4" fillId="2" borderId="1" xfId="0" applyFont="1" applyFill="1" applyBorder="1" applyAlignment="1">
      <alignment vertical="center" wrapText="1"/>
    </xf>
    <xf numFmtId="0" fontId="0" fillId="6" borderId="0" xfId="0" applyFill="1" applyAlignment="1">
      <alignment vertical="center" wrapText="1"/>
    </xf>
    <xf numFmtId="0" fontId="2" fillId="4" borderId="1" xfId="0" applyFon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p>
      </c:txPr>
    </c:title>
    <c:autoTitleDeleted val="0"/>
    <c:view3D>
      <c:rotX val="30"/>
      <c:rotY val="0"/>
      <c:depthPercent val="100"/>
      <c:rAngAx val="0"/>
    </c:view3D>
    <c:floor>
      <c:thickness val="0"/>
      <c:spPr>
        <a:noFill/>
        <a:ln>
          <a:noFill/>
        </a:ln>
        <a:effectLst/>
      </c:spPr>
    </c:floor>
    <c:sideWall>
      <c:thickness val="0"/>
      <c:spPr>
        <a:noFill/>
        <a:ln>
          <a:noFill/>
        </a:ln>
        <a:effectLst/>
      </c:spPr>
    </c:sideWall>
    <c:backWall>
      <c:thickness val="0"/>
      <c:spPr>
        <a:noFill/>
        <a:ln>
          <a:noFill/>
        </a:ln>
        <a:effectLst/>
      </c:spPr>
    </c:backWall>
    <c:plotArea>
      <c:layout/>
      <c:pie3DChart>
        <c:varyColors val="1"/>
        <c:ser>
          <c:idx val="0"/>
          <c:order val="0"/>
          <c:tx>
            <c:strRef>
              <c:f>统计!$B$1</c:f>
              <c:strCache>
                <c:ptCount val="1"/>
                <c:pt idx="0">
                  <c:v>数量</c:v>
                </c:pt>
              </c:strCache>
            </c:strRef>
          </c:tx>
          <c:spPr/>
          <c:explosion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lt1">
                        <a:lumMod val="85000"/>
                      </a:schemeClr>
                    </a:solidFill>
                    <a:latin typeface="+mn-lt"/>
                    <a:ea typeface="+mn-ea"/>
                    <a:cs typeface="+mn-cs"/>
                  </a:defRPr>
                </a:pPr>
              </a:p>
            </c:txPr>
            <c:dLblPos val="inEnd"/>
            <c:showLegendKey val="0"/>
            <c:showVal val="0"/>
            <c:showCatName val="1"/>
            <c:showSerName val="0"/>
            <c:showPercent val="1"/>
            <c:showBubbleSize val="0"/>
            <c:showLeaderLines val="1"/>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统计!$A$2:$A$7</c:f>
              <c:strCache>
                <c:ptCount val="6"/>
                <c:pt idx="0">
                  <c:v>简单直接逻辑判断</c:v>
                </c:pt>
                <c:pt idx="1">
                  <c:v>定时任务</c:v>
                </c:pt>
                <c:pt idx="2">
                  <c:v>跨对象取值判断</c:v>
                </c:pt>
                <c:pt idx="3">
                  <c:v>AI算法</c:v>
                </c:pt>
                <c:pt idx="4">
                  <c:v>插件</c:v>
                </c:pt>
                <c:pt idx="5">
                  <c:v>其他</c:v>
                </c:pt>
              </c:strCache>
            </c:strRef>
          </c:cat>
          <c:val>
            <c:numRef>
              <c:f>统计!$B$2:$B$7</c:f>
              <c:numCache>
                <c:formatCode>General</c:formatCode>
                <c:ptCount val="6"/>
                <c:pt idx="0">
                  <c:v>3</c:v>
                </c:pt>
                <c:pt idx="1">
                  <c:v>7</c:v>
                </c:pt>
                <c:pt idx="2">
                  <c:v>6</c:v>
                </c:pt>
                <c:pt idx="3">
                  <c:v>9</c:v>
                </c:pt>
                <c:pt idx="4">
                  <c:v>6</c:v>
                </c:pt>
                <c:pt idx="5">
                  <c:v>10</c:v>
                </c:pt>
              </c:numCache>
            </c:numRef>
          </c:val>
        </c:ser>
        <c:dLbls>
          <c:showLegendKey val="0"/>
          <c:showVal val="0"/>
          <c:showCatName val="1"/>
          <c:showSerName val="0"/>
          <c:showPercent val="0"/>
          <c:showBubbleSize val="0"/>
        </c:dLbls>
      </c:pie3D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p>
      </c:txPr>
    </c:legend>
    <c:plotVisOnly val="1"/>
    <c:dispBlanksAs val="gap"/>
    <c:showDLblsOverMax val="0"/>
    <c:extLst>
      <c:ext uri="{0b15fc19-7d7d-44ad-8c2d-2c3a37ce22c3}">
        <chartProps xmlns="https://web.wps.cn/et/2018/main" chartId="{58128ee4-de94-4d8e-ad8f-761f55082d1f}"/>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137160</xdr:colOff>
      <xdr:row>0</xdr:row>
      <xdr:rowOff>121920</xdr:rowOff>
    </xdr:from>
    <xdr:to>
      <xdr:col>13</xdr:col>
      <xdr:colOff>327660</xdr:colOff>
      <xdr:row>21</xdr:row>
      <xdr:rowOff>106680</xdr:rowOff>
    </xdr:to>
    <xdr:graphicFrame>
      <xdr:nvGraphicFramePr>
        <xdr:cNvPr id="2" name="图表 1"/>
        <xdr:cNvGraphicFramePr/>
      </xdr:nvGraphicFramePr>
      <xdr:xfrm>
        <a:off x="2599690" y="121920"/>
        <a:ext cx="6477000" cy="371729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2"/>
  <sheetViews>
    <sheetView tabSelected="1" zoomScale="85" zoomScaleNormal="85" workbookViewId="0">
      <pane xSplit="3" ySplit="1" topLeftCell="E30" activePane="bottomRight" state="frozen"/>
      <selection/>
      <selection pane="topRight"/>
      <selection pane="bottomLeft"/>
      <selection pane="bottomRight" activeCell="F32" sqref="F32"/>
    </sheetView>
  </sheetViews>
  <sheetFormatPr defaultColWidth="9" defaultRowHeight="14"/>
  <cols>
    <col min="1" max="1" width="14.8727272727273" style="2" customWidth="1"/>
    <col min="2" max="2" width="30.7545454545455" style="2" customWidth="1"/>
    <col min="3" max="3" width="43.5" style="2" customWidth="1"/>
    <col min="4" max="4" width="23.1272727272727" style="2" customWidth="1"/>
    <col min="5" max="5" width="13.8727272727273" style="2" customWidth="1"/>
    <col min="6" max="6" width="27.5" style="13" customWidth="1"/>
    <col min="7" max="7" width="18.2545454545455" style="13" customWidth="1"/>
    <col min="8" max="8" width="24.3727272727273" style="13" customWidth="1"/>
    <col min="9" max="9" width="49.5" style="2" customWidth="1"/>
    <col min="10" max="10" width="28.5" style="2" customWidth="1"/>
    <col min="11" max="11" width="20.5" style="2" customWidth="1"/>
    <col min="12" max="16384" width="9" style="2"/>
  </cols>
  <sheetData>
    <row r="1" spans="1:11">
      <c r="A1" s="4" t="s">
        <v>0</v>
      </c>
      <c r="B1" s="4" t="s">
        <v>1</v>
      </c>
      <c r="C1" s="4" t="s">
        <v>2</v>
      </c>
      <c r="D1" s="4" t="s">
        <v>3</v>
      </c>
      <c r="E1" s="5" t="s">
        <v>4</v>
      </c>
      <c r="F1" s="4" t="s">
        <v>5</v>
      </c>
      <c r="G1" s="4" t="s">
        <v>6</v>
      </c>
      <c r="H1" s="4" t="s">
        <v>7</v>
      </c>
      <c r="I1" s="5" t="s">
        <v>8</v>
      </c>
      <c r="J1" s="2" t="s">
        <v>9</v>
      </c>
    </row>
    <row r="2" s="20" customFormat="1" ht="182" spans="1:11">
      <c r="A2" s="6" t="s">
        <v>10</v>
      </c>
      <c r="B2" s="6" t="s">
        <v>11</v>
      </c>
      <c r="C2" s="6" t="s">
        <v>12</v>
      </c>
      <c r="D2" s="6" t="s">
        <v>13</v>
      </c>
      <c r="E2" s="7" t="s">
        <v>14</v>
      </c>
      <c r="F2" s="6" t="s">
        <v>15</v>
      </c>
      <c r="G2" s="6" t="s">
        <v>16</v>
      </c>
      <c r="H2" s="6" t="s">
        <v>17</v>
      </c>
      <c r="I2" s="21" t="s">
        <v>18</v>
      </c>
    </row>
    <row r="3" s="20" customFormat="1" ht="154" spans="1:11">
      <c r="A3" s="6" t="s">
        <v>19</v>
      </c>
      <c r="B3" s="6" t="s">
        <v>20</v>
      </c>
      <c r="C3" s="6" t="s">
        <v>21</v>
      </c>
      <c r="D3" s="6" t="s">
        <v>22</v>
      </c>
      <c r="E3" s="7" t="s">
        <v>14</v>
      </c>
      <c r="F3" s="6" t="s">
        <v>23</v>
      </c>
      <c r="G3" s="6" t="s">
        <v>24</v>
      </c>
      <c r="H3" s="6" t="s">
        <v>25</v>
      </c>
      <c r="I3" s="6" t="s">
        <v>26</v>
      </c>
      <c r="K3" s="22" t="s">
        <v>27</v>
      </c>
    </row>
    <row r="4" s="20" customFormat="1" ht="84" spans="1:11">
      <c r="A4" s="6" t="s">
        <v>28</v>
      </c>
      <c r="B4" s="6" t="s">
        <v>29</v>
      </c>
      <c r="C4" s="6" t="s">
        <v>30</v>
      </c>
      <c r="D4" s="6" t="s">
        <v>31</v>
      </c>
      <c r="E4" s="7" t="s">
        <v>14</v>
      </c>
      <c r="F4" s="6" t="s">
        <v>32</v>
      </c>
      <c r="G4" s="6" t="s">
        <v>33</v>
      </c>
      <c r="H4" s="6" t="s">
        <v>34</v>
      </c>
      <c r="I4" s="7" t="s">
        <v>35</v>
      </c>
    </row>
    <row r="5" s="20" customFormat="1" ht="126" spans="1:11">
      <c r="A5" s="6" t="s">
        <v>36</v>
      </c>
      <c r="B5" s="6" t="s">
        <v>37</v>
      </c>
      <c r="C5" s="6" t="s">
        <v>38</v>
      </c>
      <c r="D5" s="6" t="s">
        <v>39</v>
      </c>
      <c r="E5" s="7" t="s">
        <v>14</v>
      </c>
      <c r="F5" s="6" t="s">
        <v>40</v>
      </c>
      <c r="G5" s="6" t="s">
        <v>41</v>
      </c>
      <c r="H5" s="6" t="s">
        <v>42</v>
      </c>
      <c r="I5" s="7"/>
    </row>
    <row r="6" ht="112" spans="1:11">
      <c r="A6" s="6" t="s">
        <v>43</v>
      </c>
      <c r="B6" s="6" t="s">
        <v>44</v>
      </c>
      <c r="C6" s="6" t="s">
        <v>45</v>
      </c>
      <c r="D6" s="6" t="s">
        <v>46</v>
      </c>
      <c r="E6" s="7" t="s">
        <v>14</v>
      </c>
      <c r="F6" s="6" t="s">
        <v>47</v>
      </c>
      <c r="G6" s="6" t="s">
        <v>48</v>
      </c>
      <c r="H6" s="6" t="s">
        <v>49</v>
      </c>
      <c r="I6" s="23"/>
      <c r="J6" s="20"/>
      <c r="K6" s="24" t="s">
        <v>27</v>
      </c>
    </row>
    <row r="7" ht="56" spans="1:11">
      <c r="A7" s="6" t="s">
        <v>50</v>
      </c>
      <c r="B7" s="6" t="s">
        <v>51</v>
      </c>
      <c r="C7" s="6" t="s">
        <v>52</v>
      </c>
      <c r="D7" s="6" t="s">
        <v>53</v>
      </c>
      <c r="E7" s="6" t="s">
        <v>14</v>
      </c>
      <c r="F7" s="6" t="s">
        <v>54</v>
      </c>
      <c r="G7" s="6" t="s">
        <v>55</v>
      </c>
      <c r="H7" s="6" t="s">
        <v>56</v>
      </c>
      <c r="I7" s="7"/>
    </row>
    <row r="8" ht="70" spans="1:11">
      <c r="A8" s="4" t="s">
        <v>57</v>
      </c>
      <c r="B8" s="4" t="s">
        <v>58</v>
      </c>
      <c r="C8" s="4" t="s">
        <v>59</v>
      </c>
      <c r="D8" s="4" t="s">
        <v>60</v>
      </c>
      <c r="E8" s="5" t="s">
        <v>61</v>
      </c>
      <c r="F8" s="4" t="s">
        <v>62</v>
      </c>
      <c r="G8" s="4" t="s">
        <v>63</v>
      </c>
      <c r="H8" s="4" t="s">
        <v>64</v>
      </c>
      <c r="I8" s="5"/>
      <c r="J8" s="2" t="s">
        <v>65</v>
      </c>
    </row>
    <row r="9" ht="140" spans="1:11">
      <c r="A9" s="4" t="s">
        <v>66</v>
      </c>
      <c r="B9" s="4" t="s">
        <v>67</v>
      </c>
      <c r="C9" s="4" t="s">
        <v>68</v>
      </c>
      <c r="D9" s="4" t="s">
        <v>69</v>
      </c>
      <c r="E9" s="5" t="s">
        <v>61</v>
      </c>
      <c r="F9" s="4" t="s">
        <v>70</v>
      </c>
      <c r="G9" s="4" t="s">
        <v>71</v>
      </c>
      <c r="H9" s="4" t="s">
        <v>72</v>
      </c>
      <c r="I9" s="5" t="s">
        <v>73</v>
      </c>
      <c r="J9" s="20" t="s">
        <v>74</v>
      </c>
    </row>
    <row r="10" ht="98" spans="1:11">
      <c r="A10" s="4" t="s">
        <v>75</v>
      </c>
      <c r="B10" s="4" t="s">
        <v>76</v>
      </c>
      <c r="C10" s="4" t="s">
        <v>77</v>
      </c>
      <c r="D10" s="4" t="s">
        <v>78</v>
      </c>
      <c r="E10" s="5" t="s">
        <v>61</v>
      </c>
      <c r="F10" s="4" t="s">
        <v>79</v>
      </c>
      <c r="G10" s="4" t="s">
        <v>80</v>
      </c>
      <c r="H10" s="4" t="s">
        <v>81</v>
      </c>
      <c r="I10" s="25" t="s">
        <v>82</v>
      </c>
      <c r="J10" s="2" t="s">
        <v>83</v>
      </c>
    </row>
    <row r="11" ht="140" spans="1:11">
      <c r="A11" s="4" t="s">
        <v>84</v>
      </c>
      <c r="B11" s="4" t="s">
        <v>85</v>
      </c>
      <c r="C11" s="4" t="s">
        <v>86</v>
      </c>
      <c r="D11" s="4" t="s">
        <v>87</v>
      </c>
      <c r="E11" s="5" t="s">
        <v>14</v>
      </c>
      <c r="F11" s="4" t="s">
        <v>88</v>
      </c>
      <c r="G11" s="4" t="s">
        <v>89</v>
      </c>
      <c r="H11" s="4" t="s">
        <v>90</v>
      </c>
      <c r="I11" s="11" t="s">
        <v>91</v>
      </c>
      <c r="K11" s="22" t="s">
        <v>27</v>
      </c>
    </row>
    <row r="12" ht="98" spans="1:11">
      <c r="A12" s="4" t="s">
        <v>92</v>
      </c>
      <c r="B12" s="10" t="s">
        <v>93</v>
      </c>
      <c r="C12" s="4" t="s">
        <v>94</v>
      </c>
      <c r="D12" s="4" t="s">
        <v>95</v>
      </c>
      <c r="E12" s="5" t="s">
        <v>61</v>
      </c>
      <c r="F12" s="4" t="s">
        <v>96</v>
      </c>
      <c r="G12" s="4" t="s">
        <v>97</v>
      </c>
      <c r="H12" s="4" t="s">
        <v>98</v>
      </c>
      <c r="I12" s="5"/>
      <c r="J12" s="13" t="s">
        <v>99</v>
      </c>
      <c r="K12" s="22" t="s">
        <v>27</v>
      </c>
    </row>
    <row r="13" ht="182" spans="1:11">
      <c r="A13" s="4" t="s">
        <v>100</v>
      </c>
      <c r="B13" s="4" t="s">
        <v>101</v>
      </c>
      <c r="C13" s="4" t="s">
        <v>102</v>
      </c>
      <c r="D13" s="4" t="s">
        <v>103</v>
      </c>
      <c r="E13" s="5" t="s">
        <v>61</v>
      </c>
      <c r="F13" s="4" t="s">
        <v>104</v>
      </c>
      <c r="G13" s="4" t="s">
        <v>105</v>
      </c>
      <c r="H13" s="4" t="s">
        <v>106</v>
      </c>
      <c r="I13" s="5" t="s">
        <v>107</v>
      </c>
      <c r="J13" s="26" t="s">
        <v>108</v>
      </c>
    </row>
    <row r="14" ht="98" spans="1:11">
      <c r="A14" s="4" t="s">
        <v>109</v>
      </c>
      <c r="B14" s="4" t="s">
        <v>110</v>
      </c>
      <c r="C14" s="4" t="s">
        <v>111</v>
      </c>
      <c r="D14" s="4" t="s">
        <v>103</v>
      </c>
      <c r="E14" s="5" t="s">
        <v>61</v>
      </c>
      <c r="F14" s="4" t="s">
        <v>112</v>
      </c>
      <c r="G14" s="4" t="s">
        <v>113</v>
      </c>
      <c r="H14" s="4" t="s">
        <v>114</v>
      </c>
      <c r="I14" s="11" t="s">
        <v>115</v>
      </c>
      <c r="J14" s="13" t="s">
        <v>116</v>
      </c>
    </row>
    <row r="15" ht="84" spans="1:11">
      <c r="A15" s="4" t="s">
        <v>117</v>
      </c>
      <c r="B15" s="4" t="s">
        <v>118</v>
      </c>
      <c r="C15" s="4" t="s">
        <v>119</v>
      </c>
      <c r="D15" s="4" t="s">
        <v>120</v>
      </c>
      <c r="E15" s="5" t="s">
        <v>61</v>
      </c>
      <c r="F15" s="4" t="s">
        <v>121</v>
      </c>
      <c r="G15" s="4" t="s">
        <v>122</v>
      </c>
      <c r="H15" s="4" t="s">
        <v>123</v>
      </c>
      <c r="I15" s="5"/>
      <c r="J15" s="2" t="s">
        <v>124</v>
      </c>
    </row>
    <row r="16" ht="84" spans="1:11">
      <c r="A16" s="8" t="s">
        <v>125</v>
      </c>
      <c r="B16" s="8" t="s">
        <v>126</v>
      </c>
      <c r="C16" s="8" t="s">
        <v>127</v>
      </c>
      <c r="D16" s="8" t="s">
        <v>128</v>
      </c>
      <c r="E16" s="9" t="s">
        <v>129</v>
      </c>
      <c r="F16" s="8" t="s">
        <v>130</v>
      </c>
      <c r="G16" s="8" t="s">
        <v>131</v>
      </c>
      <c r="H16" s="8" t="s">
        <v>132</v>
      </c>
      <c r="I16" s="9"/>
      <c r="K16" s="22" t="s">
        <v>27</v>
      </c>
    </row>
    <row r="17" ht="84" spans="1:11">
      <c r="A17" s="8" t="s">
        <v>133</v>
      </c>
      <c r="B17" s="8" t="s">
        <v>134</v>
      </c>
      <c r="C17" s="8" t="s">
        <v>135</v>
      </c>
      <c r="D17" s="8" t="s">
        <v>136</v>
      </c>
      <c r="E17" s="9" t="s">
        <v>129</v>
      </c>
      <c r="F17" s="8" t="s">
        <v>137</v>
      </c>
      <c r="G17" s="8" t="s">
        <v>138</v>
      </c>
      <c r="H17" s="8" t="s">
        <v>139</v>
      </c>
      <c r="I17" s="9"/>
    </row>
    <row r="18" ht="140" spans="1:11">
      <c r="A18" s="4" t="s">
        <v>140</v>
      </c>
      <c r="B18" s="4" t="s">
        <v>141</v>
      </c>
      <c r="C18" s="4" t="s">
        <v>142</v>
      </c>
      <c r="D18" s="4" t="s">
        <v>143</v>
      </c>
      <c r="E18" s="5" t="s">
        <v>61</v>
      </c>
      <c r="F18" s="4" t="s">
        <v>144</v>
      </c>
      <c r="G18" s="4"/>
      <c r="H18" s="4" t="s">
        <v>145</v>
      </c>
      <c r="I18" s="5" t="s">
        <v>146</v>
      </c>
      <c r="J18" s="13" t="s">
        <v>147</v>
      </c>
    </row>
    <row r="19" ht="154" spans="1:11">
      <c r="A19" s="8" t="s">
        <v>148</v>
      </c>
      <c r="B19" s="8" t="s">
        <v>149</v>
      </c>
      <c r="C19" s="8" t="s">
        <v>150</v>
      </c>
      <c r="D19" s="8" t="s">
        <v>151</v>
      </c>
      <c r="E19" s="9" t="s">
        <v>129</v>
      </c>
      <c r="F19" s="8" t="s">
        <v>152</v>
      </c>
      <c r="G19" s="8" t="s">
        <v>153</v>
      </c>
      <c r="H19" s="8" t="s">
        <v>154</v>
      </c>
      <c r="I19" s="9"/>
    </row>
    <row r="20" ht="84" spans="1:11">
      <c r="A20" s="4" t="s">
        <v>155</v>
      </c>
      <c r="B20" s="4" t="s">
        <v>58</v>
      </c>
      <c r="C20" s="4" t="s">
        <v>156</v>
      </c>
      <c r="D20" s="4" t="s">
        <v>157</v>
      </c>
      <c r="E20" s="5" t="s">
        <v>61</v>
      </c>
      <c r="F20" s="4" t="s">
        <v>158</v>
      </c>
      <c r="G20" s="4" t="s">
        <v>159</v>
      </c>
      <c r="H20" s="4" t="s">
        <v>160</v>
      </c>
      <c r="I20" s="12" t="s">
        <v>161</v>
      </c>
      <c r="J20" s="13" t="s">
        <v>162</v>
      </c>
    </row>
    <row r="21" ht="70" spans="1:11">
      <c r="A21" s="8" t="s">
        <v>163</v>
      </c>
      <c r="B21" s="8" t="s">
        <v>164</v>
      </c>
      <c r="C21" s="8" t="s">
        <v>165</v>
      </c>
      <c r="D21" s="8" t="s">
        <v>166</v>
      </c>
      <c r="E21" s="9" t="s">
        <v>129</v>
      </c>
      <c r="F21" s="8" t="s">
        <v>167</v>
      </c>
      <c r="G21" s="8"/>
      <c r="H21" s="8" t="s">
        <v>168</v>
      </c>
      <c r="I21" s="9"/>
    </row>
    <row r="22" ht="126" spans="1:11">
      <c r="A22" s="8" t="s">
        <v>169</v>
      </c>
      <c r="B22" s="8" t="s">
        <v>170</v>
      </c>
      <c r="C22" s="8" t="s">
        <v>171</v>
      </c>
      <c r="D22" s="8" t="s">
        <v>172</v>
      </c>
      <c r="E22" s="9" t="s">
        <v>14</v>
      </c>
      <c r="F22" s="8" t="s">
        <v>173</v>
      </c>
      <c r="G22" s="8" t="s">
        <v>174</v>
      </c>
      <c r="H22" s="8" t="s">
        <v>175</v>
      </c>
      <c r="I22" s="9"/>
    </row>
    <row r="23" ht="112" spans="1:11">
      <c r="A23" s="8" t="s">
        <v>176</v>
      </c>
      <c r="B23" s="8" t="s">
        <v>177</v>
      </c>
      <c r="C23" s="8" t="s">
        <v>178</v>
      </c>
      <c r="D23" s="8" t="s">
        <v>179</v>
      </c>
      <c r="E23" s="9" t="s">
        <v>129</v>
      </c>
      <c r="F23" s="8" t="s">
        <v>180</v>
      </c>
      <c r="G23" s="8" t="s">
        <v>181</v>
      </c>
      <c r="H23" s="8" t="s">
        <v>182</v>
      </c>
      <c r="I23" s="9"/>
    </row>
    <row r="24" ht="56" spans="1:11">
      <c r="A24" s="8" t="s">
        <v>183</v>
      </c>
      <c r="B24" s="8" t="s">
        <v>184</v>
      </c>
      <c r="C24" s="8" t="s">
        <v>185</v>
      </c>
      <c r="D24" s="8" t="s">
        <v>186</v>
      </c>
      <c r="E24" s="9" t="s">
        <v>129</v>
      </c>
      <c r="F24" s="8" t="s">
        <v>187</v>
      </c>
      <c r="G24" s="8" t="s">
        <v>48</v>
      </c>
      <c r="H24" s="8" t="s">
        <v>188</v>
      </c>
      <c r="I24" s="9"/>
      <c r="K24" s="22" t="s">
        <v>27</v>
      </c>
    </row>
    <row r="25" ht="28" spans="1:11">
      <c r="A25" s="8" t="s">
        <v>189</v>
      </c>
      <c r="B25" s="8" t="s">
        <v>190</v>
      </c>
      <c r="C25" s="8" t="s">
        <v>191</v>
      </c>
      <c r="D25" s="8" t="s">
        <v>192</v>
      </c>
      <c r="E25" s="9" t="s">
        <v>193</v>
      </c>
      <c r="F25" s="8" t="s">
        <v>193</v>
      </c>
      <c r="G25" s="8"/>
      <c r="H25" s="8"/>
      <c r="I25" s="9"/>
    </row>
    <row r="26" ht="56" spans="1:11">
      <c r="A26" s="8" t="s">
        <v>194</v>
      </c>
      <c r="B26" s="8" t="s">
        <v>195</v>
      </c>
      <c r="C26" s="8" t="s">
        <v>196</v>
      </c>
      <c r="D26" s="8" t="s">
        <v>197</v>
      </c>
      <c r="E26" s="9" t="s">
        <v>193</v>
      </c>
      <c r="F26" s="8" t="s">
        <v>198</v>
      </c>
      <c r="G26" s="8"/>
      <c r="H26" s="8"/>
      <c r="I26" s="9"/>
    </row>
    <row r="27" ht="154" spans="1:11">
      <c r="A27" s="4" t="s">
        <v>199</v>
      </c>
      <c r="B27" s="4" t="s">
        <v>200</v>
      </c>
      <c r="C27" s="4" t="s">
        <v>201</v>
      </c>
      <c r="D27" s="4" t="s">
        <v>202</v>
      </c>
      <c r="E27" s="5" t="s">
        <v>61</v>
      </c>
      <c r="F27" s="4" t="s">
        <v>203</v>
      </c>
      <c r="G27" s="4" t="s">
        <v>122</v>
      </c>
      <c r="H27" s="4" t="s">
        <v>204</v>
      </c>
      <c r="I27" s="27" t="s">
        <v>205</v>
      </c>
      <c r="J27" s="13" t="s">
        <v>206</v>
      </c>
    </row>
    <row r="28" ht="84" spans="1:11">
      <c r="A28" s="4" t="s">
        <v>207</v>
      </c>
      <c r="B28" s="4" t="s">
        <v>208</v>
      </c>
      <c r="C28" s="4" t="s">
        <v>209</v>
      </c>
      <c r="D28" s="4" t="s">
        <v>210</v>
      </c>
      <c r="E28" s="5" t="s">
        <v>61</v>
      </c>
      <c r="F28" s="4" t="s">
        <v>211</v>
      </c>
      <c r="G28" s="4" t="s">
        <v>212</v>
      </c>
      <c r="H28" s="4" t="s">
        <v>213</v>
      </c>
      <c r="I28" s="5"/>
      <c r="J28" s="2" t="s">
        <v>214</v>
      </c>
    </row>
    <row r="29" ht="112" spans="1:11">
      <c r="A29" s="4" t="s">
        <v>215</v>
      </c>
      <c r="B29" s="4" t="s">
        <v>216</v>
      </c>
      <c r="C29" s="4" t="s">
        <v>217</v>
      </c>
      <c r="D29" s="4" t="s">
        <v>218</v>
      </c>
      <c r="E29" s="5" t="s">
        <v>61</v>
      </c>
      <c r="F29" s="4" t="s">
        <v>219</v>
      </c>
      <c r="G29" s="4" t="s">
        <v>220</v>
      </c>
      <c r="H29" s="4" t="s">
        <v>221</v>
      </c>
      <c r="I29" s="5"/>
      <c r="J29" s="2" t="s">
        <v>214</v>
      </c>
    </row>
    <row r="30" ht="70" spans="1:11">
      <c r="A30" s="4" t="s">
        <v>222</v>
      </c>
      <c r="B30" s="4" t="s">
        <v>223</v>
      </c>
      <c r="C30" s="4" t="s">
        <v>224</v>
      </c>
      <c r="D30" s="4" t="s">
        <v>225</v>
      </c>
      <c r="E30" s="5" t="s">
        <v>61</v>
      </c>
      <c r="F30" s="4" t="s">
        <v>226</v>
      </c>
      <c r="G30" s="4" t="s">
        <v>227</v>
      </c>
      <c r="H30" s="4" t="s">
        <v>228</v>
      </c>
      <c r="I30" s="5"/>
      <c r="J30" s="2" t="s">
        <v>229</v>
      </c>
      <c r="K30" s="22" t="s">
        <v>27</v>
      </c>
    </row>
    <row r="31" ht="98" spans="1:11">
      <c r="A31" s="8" t="s">
        <v>230</v>
      </c>
      <c r="B31" s="8" t="s">
        <v>231</v>
      </c>
      <c r="C31" s="8" t="s">
        <v>232</v>
      </c>
      <c r="D31" s="8" t="s">
        <v>233</v>
      </c>
      <c r="E31" s="9" t="s">
        <v>14</v>
      </c>
      <c r="F31" s="8" t="s">
        <v>234</v>
      </c>
      <c r="G31" s="8"/>
      <c r="H31" s="8" t="s">
        <v>235</v>
      </c>
      <c r="I31" s="9"/>
    </row>
    <row r="32" ht="154" spans="1:11">
      <c r="A32" s="8" t="s">
        <v>236</v>
      </c>
      <c r="B32" s="8" t="s">
        <v>237</v>
      </c>
      <c r="C32" s="8" t="s">
        <v>238</v>
      </c>
      <c r="D32" s="8" t="s">
        <v>239</v>
      </c>
      <c r="E32" s="9" t="s">
        <v>193</v>
      </c>
      <c r="F32" s="8" t="s">
        <v>240</v>
      </c>
      <c r="G32" s="8"/>
      <c r="H32" s="8"/>
      <c r="I32" s="9"/>
    </row>
    <row r="33" ht="28" spans="1:10">
      <c r="A33" s="8" t="s">
        <v>241</v>
      </c>
      <c r="B33" s="8" t="s">
        <v>242</v>
      </c>
      <c r="C33" s="8" t="s">
        <v>243</v>
      </c>
      <c r="D33" s="8" t="s">
        <v>242</v>
      </c>
      <c r="E33" s="9" t="s">
        <v>193</v>
      </c>
      <c r="F33" s="8" t="s">
        <v>244</v>
      </c>
      <c r="G33" s="8"/>
      <c r="H33" s="8"/>
      <c r="I33" s="9"/>
    </row>
    <row r="34" ht="98" spans="1:10">
      <c r="A34" s="4" t="s">
        <v>245</v>
      </c>
      <c r="B34" s="4" t="s">
        <v>246</v>
      </c>
      <c r="C34" s="4" t="s">
        <v>247</v>
      </c>
      <c r="D34" s="4" t="s">
        <v>248</v>
      </c>
      <c r="E34" s="5" t="s">
        <v>61</v>
      </c>
      <c r="F34" s="4" t="s">
        <v>249</v>
      </c>
      <c r="G34" s="4" t="s">
        <v>250</v>
      </c>
      <c r="H34" s="4" t="s">
        <v>251</v>
      </c>
      <c r="I34" s="5"/>
      <c r="J34" s="2" t="s">
        <v>214</v>
      </c>
    </row>
    <row r="35" ht="56" spans="1:10">
      <c r="A35" s="8" t="s">
        <v>252</v>
      </c>
      <c r="B35" s="8" t="s">
        <v>190</v>
      </c>
      <c r="C35" s="8" t="s">
        <v>253</v>
      </c>
      <c r="D35" s="8" t="s">
        <v>254</v>
      </c>
      <c r="E35" s="9" t="s">
        <v>193</v>
      </c>
      <c r="F35" s="8" t="s">
        <v>255</v>
      </c>
      <c r="G35" s="8"/>
      <c r="H35" s="8"/>
      <c r="I35" s="9"/>
    </row>
    <row r="36" ht="84" spans="1:10">
      <c r="A36" s="8" t="s">
        <v>256</v>
      </c>
      <c r="B36" s="8" t="s">
        <v>242</v>
      </c>
      <c r="C36" s="8" t="s">
        <v>257</v>
      </c>
      <c r="D36" s="8" t="s">
        <v>242</v>
      </c>
      <c r="E36" s="9" t="s">
        <v>193</v>
      </c>
      <c r="F36" s="8" t="s">
        <v>258</v>
      </c>
      <c r="G36" s="8"/>
      <c r="H36" s="8"/>
      <c r="I36" s="9"/>
    </row>
    <row r="37" ht="56" spans="1:10">
      <c r="A37" s="8" t="s">
        <v>259</v>
      </c>
      <c r="B37" s="8" t="s">
        <v>242</v>
      </c>
      <c r="C37" s="8" t="s">
        <v>260</v>
      </c>
      <c r="D37" s="8" t="s">
        <v>242</v>
      </c>
      <c r="E37" s="9" t="s">
        <v>193</v>
      </c>
      <c r="F37" s="8" t="s">
        <v>261</v>
      </c>
      <c r="G37" s="8"/>
      <c r="H37" s="8"/>
      <c r="I37" s="9"/>
    </row>
    <row r="38" ht="70" spans="1:10">
      <c r="A38" s="8" t="s">
        <v>262</v>
      </c>
      <c r="B38" s="8" t="s">
        <v>263</v>
      </c>
      <c r="C38" s="8" t="s">
        <v>264</v>
      </c>
      <c r="D38" s="8" t="s">
        <v>265</v>
      </c>
      <c r="E38" s="9" t="s">
        <v>193</v>
      </c>
      <c r="F38" s="8" t="s">
        <v>266</v>
      </c>
      <c r="G38" s="8"/>
      <c r="H38" s="8"/>
      <c r="I38" s="9"/>
    </row>
    <row r="39" ht="42" spans="1:10">
      <c r="A39" s="8" t="s">
        <v>267</v>
      </c>
      <c r="B39" s="8" t="s">
        <v>268</v>
      </c>
      <c r="C39" s="8" t="s">
        <v>269</v>
      </c>
      <c r="D39" s="8" t="s">
        <v>270</v>
      </c>
      <c r="E39" s="9" t="s">
        <v>193</v>
      </c>
      <c r="F39" s="8" t="s">
        <v>271</v>
      </c>
      <c r="G39" s="8"/>
      <c r="H39" s="8"/>
      <c r="I39" s="9"/>
    </row>
    <row r="40" ht="56" spans="1:10">
      <c r="A40" s="8" t="s">
        <v>272</v>
      </c>
      <c r="B40" s="8" t="s">
        <v>273</v>
      </c>
      <c r="C40" s="8" t="s">
        <v>274</v>
      </c>
      <c r="D40" s="8" t="s">
        <v>275</v>
      </c>
      <c r="E40" s="9" t="s">
        <v>193</v>
      </c>
      <c r="F40" s="8" t="s">
        <v>276</v>
      </c>
      <c r="G40" s="8"/>
      <c r="H40" s="8"/>
      <c r="I40" s="9"/>
    </row>
    <row r="41" ht="70" spans="1:10">
      <c r="A41" s="8" t="s">
        <v>277</v>
      </c>
      <c r="B41" s="8" t="s">
        <v>278</v>
      </c>
      <c r="C41" s="8" t="s">
        <v>279</v>
      </c>
      <c r="D41" s="8" t="s">
        <v>280</v>
      </c>
      <c r="E41" s="9" t="s">
        <v>281</v>
      </c>
      <c r="F41" s="8" t="s">
        <v>282</v>
      </c>
      <c r="G41" s="8"/>
      <c r="H41" s="8"/>
      <c r="I41" s="9"/>
    </row>
    <row r="42" ht="70" spans="1:10">
      <c r="A42" s="8" t="s">
        <v>283</v>
      </c>
      <c r="B42" s="8" t="s">
        <v>284</v>
      </c>
      <c r="C42" s="8" t="s">
        <v>285</v>
      </c>
      <c r="D42" s="8" t="s">
        <v>286</v>
      </c>
      <c r="E42" s="9" t="s">
        <v>281</v>
      </c>
      <c r="F42" s="8" t="s">
        <v>287</v>
      </c>
      <c r="G42" s="8"/>
      <c r="H42" s="8"/>
      <c r="I42" s="9"/>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
  <sheetViews>
    <sheetView workbookViewId="0">
      <selection activeCell="B5" sqref="B5"/>
    </sheetView>
  </sheetViews>
  <sheetFormatPr defaultColWidth="9" defaultRowHeight="14" outlineLevelRow="3"/>
  <cols>
    <col min="1" max="1" width="40" customWidth="1"/>
    <col min="2" max="2" width="28.1272727272727" customWidth="1"/>
    <col min="3" max="3" width="18.5" customWidth="1"/>
    <col min="4" max="4" width="21.7545454545455" customWidth="1"/>
    <col min="7" max="7" width="53.2545454545455" customWidth="1"/>
  </cols>
  <sheetData>
    <row r="1" s="2" customFormat="1" ht="28" spans="1:10">
      <c r="A1" s="4" t="s">
        <v>0</v>
      </c>
      <c r="B1" s="4" t="s">
        <v>1</v>
      </c>
      <c r="C1" s="4" t="s">
        <v>2</v>
      </c>
      <c r="D1" s="4" t="s">
        <v>3</v>
      </c>
      <c r="E1" s="5" t="s">
        <v>4</v>
      </c>
      <c r="F1" s="4" t="s">
        <v>5</v>
      </c>
      <c r="G1" s="4" t="s">
        <v>6</v>
      </c>
      <c r="H1" s="4" t="s">
        <v>7</v>
      </c>
      <c r="I1" s="5" t="s">
        <v>8</v>
      </c>
      <c r="J1" s="2" t="s">
        <v>9</v>
      </c>
    </row>
    <row r="2" s="2" customFormat="1" ht="147.6" customHeight="1" spans="1:10">
      <c r="A2" s="14" t="s">
        <v>10</v>
      </c>
      <c r="B2" s="14" t="s">
        <v>11</v>
      </c>
      <c r="C2" s="14" t="s">
        <v>12</v>
      </c>
      <c r="D2" s="14" t="s">
        <v>13</v>
      </c>
      <c r="E2" s="15" t="s">
        <v>14</v>
      </c>
      <c r="F2" s="14" t="s">
        <v>15</v>
      </c>
      <c r="G2" s="14" t="s">
        <v>16</v>
      </c>
      <c r="H2" s="14" t="s">
        <v>17</v>
      </c>
      <c r="I2" s="19" t="s">
        <v>18</v>
      </c>
    </row>
    <row r="3" ht="94.15" customHeight="1" spans="1:10">
      <c r="A3" s="8" t="s">
        <v>134</v>
      </c>
      <c r="B3" s="8" t="s">
        <v>135</v>
      </c>
      <c r="C3" s="8" t="s">
        <v>136</v>
      </c>
      <c r="D3" s="9" t="s">
        <v>129</v>
      </c>
      <c r="E3" s="8" t="s">
        <v>137</v>
      </c>
      <c r="F3" s="8" t="s">
        <v>138</v>
      </c>
      <c r="G3" s="8" t="s">
        <v>139</v>
      </c>
    </row>
    <row r="4" ht="102" customHeight="1" spans="1:10">
      <c r="A4" s="8" t="s">
        <v>163</v>
      </c>
      <c r="B4" s="8" t="s">
        <v>164</v>
      </c>
      <c r="C4" s="8" t="s">
        <v>165</v>
      </c>
      <c r="D4" s="8" t="s">
        <v>166</v>
      </c>
      <c r="E4" s="9" t="s">
        <v>129</v>
      </c>
      <c r="F4" s="8" t="s">
        <v>167</v>
      </c>
      <c r="G4" s="8"/>
      <c r="H4" s="8" t="s">
        <v>168</v>
      </c>
      <c r="I4" s="9"/>
    </row>
  </sheetData>
  <pageMargins left="0.7" right="0.7" top="0.75" bottom="0.75" header="0.3" footer="0.3"/>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
  <sheetViews>
    <sheetView topLeftCell="A7" workbookViewId="0">
      <selection activeCell="A2" sqref="A2"/>
    </sheetView>
  </sheetViews>
  <sheetFormatPr defaultColWidth="9" defaultRowHeight="14" outlineLevelRow="7"/>
  <cols>
    <col min="2" max="2" width="36.3727272727273" customWidth="1"/>
    <col min="3" max="3" width="53" customWidth="1"/>
    <col min="6" max="6" width="39.5" customWidth="1"/>
    <col min="8" max="8" width="11.6272727272727" customWidth="1"/>
    <col min="9" max="9" width="16.1272727272727" customWidth="1"/>
  </cols>
  <sheetData>
    <row r="1" s="2" customFormat="1" spans="1:10">
      <c r="A1" s="4" t="s">
        <v>0</v>
      </c>
      <c r="B1" s="4" t="s">
        <v>1</v>
      </c>
      <c r="C1" s="4" t="s">
        <v>2</v>
      </c>
      <c r="D1" s="4" t="s">
        <v>3</v>
      </c>
      <c r="E1" s="5" t="s">
        <v>4</v>
      </c>
      <c r="F1" s="4" t="s">
        <v>5</v>
      </c>
      <c r="G1" s="4" t="s">
        <v>6</v>
      </c>
      <c r="H1" s="4" t="s">
        <v>7</v>
      </c>
      <c r="I1" s="5" t="s">
        <v>8</v>
      </c>
      <c r="J1" s="2" t="s">
        <v>9</v>
      </c>
    </row>
    <row r="2" s="2" customFormat="1" ht="85.15" customHeight="1" spans="1:10">
      <c r="A2" s="16" t="s">
        <v>19</v>
      </c>
      <c r="B2" s="16" t="s">
        <v>20</v>
      </c>
      <c r="C2" s="16" t="s">
        <v>21</v>
      </c>
      <c r="D2" s="16" t="s">
        <v>22</v>
      </c>
      <c r="E2" s="17" t="s">
        <v>14</v>
      </c>
      <c r="F2" s="16" t="s">
        <v>23</v>
      </c>
      <c r="G2" s="16" t="s">
        <v>24</v>
      </c>
      <c r="H2" s="16" t="s">
        <v>25</v>
      </c>
      <c r="I2" s="16" t="s">
        <v>26</v>
      </c>
      <c r="J2" s="18"/>
    </row>
    <row r="3" ht="91.15" customHeight="1" spans="1:10">
      <c r="A3" s="16" t="s">
        <v>43</v>
      </c>
      <c r="B3" s="16" t="s">
        <v>44</v>
      </c>
      <c r="C3" s="16" t="s">
        <v>45</v>
      </c>
      <c r="D3" s="16" t="s">
        <v>46</v>
      </c>
      <c r="E3" s="16" t="s">
        <v>14</v>
      </c>
      <c r="F3" s="16" t="s">
        <v>47</v>
      </c>
      <c r="G3" s="16" t="s">
        <v>48</v>
      </c>
      <c r="H3" s="16" t="s">
        <v>49</v>
      </c>
      <c r="I3" s="16"/>
    </row>
    <row r="4" ht="140" spans="1:10">
      <c r="A4" s="4" t="s">
        <v>84</v>
      </c>
      <c r="B4" s="4" t="s">
        <v>85</v>
      </c>
      <c r="C4" s="4" t="s">
        <v>86</v>
      </c>
      <c r="D4" s="4" t="s">
        <v>87</v>
      </c>
      <c r="E4" s="5" t="s">
        <v>14</v>
      </c>
      <c r="F4" s="4" t="s">
        <v>88</v>
      </c>
      <c r="G4" s="4" t="s">
        <v>89</v>
      </c>
      <c r="H4" s="4" t="s">
        <v>90</v>
      </c>
    </row>
    <row r="5" ht="70" spans="1:10">
      <c r="A5" s="8" t="s">
        <v>183</v>
      </c>
      <c r="B5" s="8" t="s">
        <v>184</v>
      </c>
      <c r="C5" s="8" t="s">
        <v>185</v>
      </c>
      <c r="D5" s="8" t="s">
        <v>186</v>
      </c>
      <c r="E5" s="9" t="s">
        <v>129</v>
      </c>
      <c r="F5" s="8" t="s">
        <v>187</v>
      </c>
      <c r="G5" s="8" t="s">
        <v>48</v>
      </c>
      <c r="H5" s="8" t="s">
        <v>188</v>
      </c>
      <c r="I5" s="9"/>
    </row>
    <row r="6" ht="56" spans="1:10">
      <c r="A6" s="4" t="s">
        <v>222</v>
      </c>
      <c r="B6" s="4" t="s">
        <v>223</v>
      </c>
      <c r="C6" s="4" t="s">
        <v>224</v>
      </c>
      <c r="D6" s="4" t="s">
        <v>225</v>
      </c>
      <c r="E6" s="5" t="s">
        <v>61</v>
      </c>
      <c r="F6" s="4" t="s">
        <v>226</v>
      </c>
      <c r="G6" s="4" t="s">
        <v>227</v>
      </c>
      <c r="H6" s="4" t="s">
        <v>228</v>
      </c>
      <c r="I6" s="5"/>
    </row>
    <row r="7" s="3" customFormat="1" ht="98" spans="1:10">
      <c r="A7" s="6" t="s">
        <v>277</v>
      </c>
      <c r="B7" s="6" t="s">
        <v>278</v>
      </c>
      <c r="C7" s="6" t="s">
        <v>279</v>
      </c>
      <c r="D7" s="6" t="s">
        <v>280</v>
      </c>
      <c r="E7" s="7" t="s">
        <v>281</v>
      </c>
      <c r="F7" s="6" t="s">
        <v>282</v>
      </c>
      <c r="G7" s="6"/>
      <c r="H7" s="6"/>
      <c r="I7" s="7"/>
    </row>
    <row r="8" s="3" customFormat="1" ht="70" spans="1:10">
      <c r="A8" s="6" t="s">
        <v>283</v>
      </c>
      <c r="B8" s="6" t="s">
        <v>284</v>
      </c>
      <c r="C8" s="6" t="s">
        <v>285</v>
      </c>
      <c r="D8" s="6" t="s">
        <v>286</v>
      </c>
      <c r="E8" s="7" t="s">
        <v>281</v>
      </c>
      <c r="F8" s="6" t="s">
        <v>287</v>
      </c>
      <c r="G8" s="6"/>
      <c r="H8" s="6"/>
      <c r="I8" s="7"/>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workbookViewId="0">
      <selection activeCell="D3" sqref="D3"/>
    </sheetView>
  </sheetViews>
  <sheetFormatPr defaultColWidth="9" defaultRowHeight="14" outlineLevelRow="6"/>
  <cols>
    <col min="1" max="1" width="21.7545454545455" customWidth="1"/>
    <col min="2" max="2" width="34" customWidth="1"/>
    <col min="3" max="3" width="21.6272727272727" customWidth="1"/>
    <col min="4" max="4" width="33.3727272727273" customWidth="1"/>
    <col min="6" max="6" width="31.7545454545455" customWidth="1"/>
    <col min="8" max="8" width="24.1272727272727" customWidth="1"/>
  </cols>
  <sheetData>
    <row r="1" s="2" customFormat="1" spans="1:10">
      <c r="A1" s="4" t="s">
        <v>0</v>
      </c>
      <c r="B1" s="4" t="s">
        <v>1</v>
      </c>
      <c r="C1" s="4" t="s">
        <v>2</v>
      </c>
      <c r="D1" s="4" t="s">
        <v>3</v>
      </c>
      <c r="E1" s="5" t="s">
        <v>4</v>
      </c>
      <c r="F1" s="4" t="s">
        <v>5</v>
      </c>
      <c r="G1" s="4" t="s">
        <v>6</v>
      </c>
      <c r="H1" s="4" t="s">
        <v>7</v>
      </c>
      <c r="I1" s="5" t="s">
        <v>8</v>
      </c>
      <c r="J1" s="2" t="s">
        <v>9</v>
      </c>
    </row>
    <row r="2" s="2" customFormat="1" ht="70" spans="1:10">
      <c r="A2" s="14" t="s">
        <v>28</v>
      </c>
      <c r="B2" s="14" t="s">
        <v>29</v>
      </c>
      <c r="C2" s="14" t="s">
        <v>30</v>
      </c>
      <c r="D2" s="14" t="s">
        <v>31</v>
      </c>
      <c r="E2" s="15" t="s">
        <v>14</v>
      </c>
      <c r="F2" s="14" t="s">
        <v>32</v>
      </c>
      <c r="G2" s="14" t="s">
        <v>33</v>
      </c>
      <c r="H2" s="14" t="s">
        <v>34</v>
      </c>
      <c r="I2" s="15" t="s">
        <v>35</v>
      </c>
    </row>
    <row r="3" ht="143.45" customHeight="1" spans="1:10">
      <c r="A3" s="14" t="s">
        <v>36</v>
      </c>
      <c r="B3" s="14" t="s">
        <v>37</v>
      </c>
      <c r="C3" s="14" t="s">
        <v>38</v>
      </c>
      <c r="D3" s="14" t="s">
        <v>39</v>
      </c>
      <c r="E3" s="15" t="s">
        <v>14</v>
      </c>
      <c r="F3" s="14" t="s">
        <v>40</v>
      </c>
      <c r="G3" s="14" t="s">
        <v>41</v>
      </c>
      <c r="H3" s="14" t="s">
        <v>42</v>
      </c>
      <c r="I3" s="15"/>
    </row>
    <row r="4" ht="56" spans="1:10">
      <c r="A4" s="14" t="s">
        <v>50</v>
      </c>
      <c r="B4" s="14" t="s">
        <v>51</v>
      </c>
      <c r="C4" s="14" t="s">
        <v>52</v>
      </c>
      <c r="D4" s="14" t="s">
        <v>53</v>
      </c>
      <c r="E4" s="14" t="s">
        <v>14</v>
      </c>
      <c r="F4" s="14" t="s">
        <v>54</v>
      </c>
      <c r="G4" s="14" t="s">
        <v>55</v>
      </c>
      <c r="H4" s="14" t="s">
        <v>56</v>
      </c>
      <c r="I4" s="15"/>
    </row>
    <row r="5" ht="84" spans="1:10">
      <c r="A5" s="8" t="s">
        <v>125</v>
      </c>
      <c r="B5" s="8" t="s">
        <v>126</v>
      </c>
      <c r="C5" s="8" t="s">
        <v>127</v>
      </c>
      <c r="D5" s="8" t="s">
        <v>128</v>
      </c>
      <c r="E5" s="9" t="s">
        <v>129</v>
      </c>
      <c r="F5" s="8" t="s">
        <v>130</v>
      </c>
      <c r="G5" s="8" t="s">
        <v>131</v>
      </c>
      <c r="H5" s="8" t="s">
        <v>132</v>
      </c>
    </row>
    <row r="6" ht="112" spans="1:10">
      <c r="A6" s="8" t="s">
        <v>176</v>
      </c>
      <c r="B6" s="8" t="s">
        <v>177</v>
      </c>
      <c r="C6" s="8" t="s">
        <v>178</v>
      </c>
      <c r="D6" s="8" t="s">
        <v>179</v>
      </c>
      <c r="E6" s="9" t="s">
        <v>129</v>
      </c>
      <c r="F6" s="8" t="s">
        <v>180</v>
      </c>
      <c r="G6" s="8" t="s">
        <v>181</v>
      </c>
      <c r="H6" s="8" t="s">
        <v>182</v>
      </c>
    </row>
    <row r="7" ht="154" spans="1:10">
      <c r="A7" s="8" t="s">
        <v>148</v>
      </c>
      <c r="B7" s="8" t="s">
        <v>149</v>
      </c>
      <c r="C7" s="8" t="s">
        <v>150</v>
      </c>
      <c r="D7" s="8" t="s">
        <v>151</v>
      </c>
      <c r="E7" s="9" t="s">
        <v>129</v>
      </c>
      <c r="F7" s="8" t="s">
        <v>152</v>
      </c>
      <c r="G7" s="8" t="s">
        <v>153</v>
      </c>
      <c r="H7" s="8" t="s">
        <v>154</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
  <sheetViews>
    <sheetView zoomScale="85" zoomScaleNormal="85" workbookViewId="0">
      <selection activeCell="A9" sqref="A2:A9"/>
    </sheetView>
  </sheetViews>
  <sheetFormatPr defaultColWidth="9" defaultRowHeight="14"/>
  <cols>
    <col min="1" max="1" width="37.5" customWidth="1"/>
    <col min="2" max="2" width="32.7545454545455" customWidth="1"/>
    <col min="3" max="3" width="26.3727272727273" customWidth="1"/>
    <col min="4" max="4" width="29.7545454545455" customWidth="1"/>
    <col min="5" max="5" width="15.1272727272727" customWidth="1"/>
    <col min="6" max="6" width="31.5" customWidth="1"/>
    <col min="8" max="8" width="22.1272727272727" customWidth="1"/>
  </cols>
  <sheetData>
    <row r="1" spans="1:10">
      <c r="A1" s="4" t="s">
        <v>0</v>
      </c>
      <c r="B1" s="4" t="s">
        <v>1</v>
      </c>
      <c r="C1" s="4" t="s">
        <v>2</v>
      </c>
      <c r="D1" s="4" t="s">
        <v>3</v>
      </c>
      <c r="E1" s="5" t="s">
        <v>4</v>
      </c>
      <c r="F1" s="4" t="s">
        <v>5</v>
      </c>
      <c r="G1" s="4" t="s">
        <v>6</v>
      </c>
      <c r="H1" s="4" t="s">
        <v>7</v>
      </c>
      <c r="I1" s="5" t="s">
        <v>8</v>
      </c>
      <c r="J1" s="2" t="s">
        <v>9</v>
      </c>
    </row>
    <row r="2" ht="55.9" customHeight="1" spans="1:10">
      <c r="A2" s="4" t="s">
        <v>57</v>
      </c>
      <c r="B2" s="4" t="s">
        <v>58</v>
      </c>
      <c r="C2" s="4" t="s">
        <v>59</v>
      </c>
      <c r="D2" s="4" t="s">
        <v>60</v>
      </c>
      <c r="E2" s="5" t="s">
        <v>61</v>
      </c>
      <c r="F2" s="4" t="s">
        <v>62</v>
      </c>
      <c r="G2" s="4" t="s">
        <v>63</v>
      </c>
      <c r="H2" s="4" t="s">
        <v>64</v>
      </c>
      <c r="I2" s="5"/>
    </row>
    <row r="3" ht="107.45" customHeight="1" spans="1:10">
      <c r="A3" s="4" t="s">
        <v>66</v>
      </c>
      <c r="B3" s="4" t="s">
        <v>67</v>
      </c>
      <c r="C3" s="4" t="s">
        <v>68</v>
      </c>
      <c r="D3" s="4" t="s">
        <v>69</v>
      </c>
      <c r="E3" s="5" t="s">
        <v>61</v>
      </c>
      <c r="F3" s="4" t="s">
        <v>70</v>
      </c>
      <c r="G3" s="4" t="s">
        <v>71</v>
      </c>
      <c r="H3" s="4" t="s">
        <v>72</v>
      </c>
    </row>
    <row r="4" ht="126" spans="1:10">
      <c r="A4" s="4" t="s">
        <v>75</v>
      </c>
      <c r="B4" s="4" t="s">
        <v>76</v>
      </c>
      <c r="C4" s="4" t="s">
        <v>77</v>
      </c>
      <c r="D4" s="4" t="s">
        <v>78</v>
      </c>
      <c r="E4" s="5" t="s">
        <v>61</v>
      </c>
      <c r="F4" s="4" t="s">
        <v>79</v>
      </c>
      <c r="G4" s="4" t="s">
        <v>80</v>
      </c>
      <c r="H4" s="4" t="s">
        <v>81</v>
      </c>
    </row>
    <row r="5" ht="119.45" customHeight="1" spans="1:10">
      <c r="A5" s="4" t="s">
        <v>92</v>
      </c>
      <c r="B5" s="10" t="s">
        <v>93</v>
      </c>
      <c r="C5" s="4" t="s">
        <v>94</v>
      </c>
      <c r="D5" s="4" t="s">
        <v>95</v>
      </c>
      <c r="E5" s="5" t="s">
        <v>61</v>
      </c>
      <c r="F5" s="4" t="s">
        <v>96</v>
      </c>
      <c r="G5" s="4" t="s">
        <v>97</v>
      </c>
      <c r="H5" s="4" t="s">
        <v>98</v>
      </c>
    </row>
    <row r="6" ht="294" spans="1:10">
      <c r="A6" s="4" t="s">
        <v>100</v>
      </c>
      <c r="B6" s="4" t="s">
        <v>101</v>
      </c>
      <c r="C6" s="4" t="s">
        <v>102</v>
      </c>
      <c r="D6" s="4" t="s">
        <v>103</v>
      </c>
      <c r="E6" s="5" t="s">
        <v>61</v>
      </c>
      <c r="F6" s="4" t="s">
        <v>104</v>
      </c>
      <c r="G6" s="4" t="s">
        <v>105</v>
      </c>
      <c r="H6" s="4" t="s">
        <v>106</v>
      </c>
      <c r="I6" s="5" t="s">
        <v>107</v>
      </c>
    </row>
    <row r="7" ht="237" customHeight="1" spans="1:10">
      <c r="A7" s="4" t="s">
        <v>109</v>
      </c>
      <c r="B7" s="4" t="s">
        <v>110</v>
      </c>
      <c r="C7" s="4" t="s">
        <v>111</v>
      </c>
      <c r="D7" s="4" t="s">
        <v>103</v>
      </c>
      <c r="E7" s="5" t="s">
        <v>61</v>
      </c>
      <c r="F7" s="4" t="s">
        <v>112</v>
      </c>
      <c r="G7" s="4" t="s">
        <v>113</v>
      </c>
      <c r="H7" s="4" t="s">
        <v>114</v>
      </c>
      <c r="I7" s="11" t="s">
        <v>115</v>
      </c>
    </row>
    <row r="8" ht="140" spans="1:10">
      <c r="A8" s="4" t="s">
        <v>118</v>
      </c>
      <c r="B8" s="4" t="s">
        <v>119</v>
      </c>
      <c r="C8" s="4" t="s">
        <v>120</v>
      </c>
      <c r="D8" s="5" t="s">
        <v>61</v>
      </c>
      <c r="E8" s="4" t="s">
        <v>121</v>
      </c>
      <c r="F8" s="4" t="s">
        <v>122</v>
      </c>
      <c r="G8" s="4" t="s">
        <v>123</v>
      </c>
      <c r="H8" s="5"/>
      <c r="I8" s="2" t="s">
        <v>124</v>
      </c>
    </row>
    <row r="9" ht="98" spans="1:10">
      <c r="A9" s="4" t="s">
        <v>155</v>
      </c>
      <c r="B9" s="4" t="s">
        <v>58</v>
      </c>
      <c r="C9" s="4" t="s">
        <v>156</v>
      </c>
      <c r="D9" s="4" t="s">
        <v>157</v>
      </c>
      <c r="E9" s="5" t="s">
        <v>61</v>
      </c>
      <c r="F9" s="4" t="s">
        <v>158</v>
      </c>
      <c r="G9" s="4" t="s">
        <v>159</v>
      </c>
      <c r="H9" s="4" t="s">
        <v>160</v>
      </c>
      <c r="I9" s="12" t="s">
        <v>161</v>
      </c>
      <c r="J9" s="13" t="s">
        <v>162</v>
      </c>
    </row>
    <row r="10" ht="210" spans="1:10">
      <c r="A10" s="8" t="s">
        <v>169</v>
      </c>
      <c r="B10" s="8" t="s">
        <v>170</v>
      </c>
      <c r="C10" s="8" t="s">
        <v>171</v>
      </c>
      <c r="D10" s="8" t="s">
        <v>172</v>
      </c>
      <c r="E10" s="9" t="s">
        <v>14</v>
      </c>
      <c r="F10" s="8" t="s">
        <v>173</v>
      </c>
      <c r="G10" s="8" t="s">
        <v>174</v>
      </c>
      <c r="H10" s="8" t="s">
        <v>175</v>
      </c>
      <c r="I10" s="9"/>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topLeftCell="A6" workbookViewId="0">
      <selection activeCell="C4" sqref="C4"/>
    </sheetView>
  </sheetViews>
  <sheetFormatPr defaultColWidth="9" defaultRowHeight="14" outlineLevelRow="6"/>
  <cols>
    <col min="1" max="1" width="17.1272727272727" customWidth="1"/>
    <col min="2" max="2" width="34.5" customWidth="1"/>
    <col min="3" max="3" width="39.6272727272727" customWidth="1"/>
    <col min="5" max="5" width="6.25454545454545" customWidth="1"/>
    <col min="6" max="6" width="23.2545454545455" customWidth="1"/>
    <col min="8" max="8" width="51.6272727272727" customWidth="1"/>
  </cols>
  <sheetData>
    <row r="1" s="2" customFormat="1" spans="1:10">
      <c r="A1" s="4" t="s">
        <v>0</v>
      </c>
      <c r="B1" s="4" t="s">
        <v>1</v>
      </c>
      <c r="C1" s="4" t="s">
        <v>2</v>
      </c>
      <c r="D1" s="4" t="s">
        <v>3</v>
      </c>
      <c r="E1" s="5" t="s">
        <v>4</v>
      </c>
      <c r="F1" s="4" t="s">
        <v>5</v>
      </c>
      <c r="G1" s="4" t="s">
        <v>6</v>
      </c>
      <c r="H1" s="4" t="s">
        <v>7</v>
      </c>
      <c r="I1" s="5" t="s">
        <v>8</v>
      </c>
      <c r="J1" s="2" t="s">
        <v>9</v>
      </c>
    </row>
    <row r="2" ht="109.15" customHeight="1" spans="1:10">
      <c r="A2" s="4" t="s">
        <v>207</v>
      </c>
      <c r="B2" s="4" t="s">
        <v>208</v>
      </c>
      <c r="C2" s="4" t="s">
        <v>209</v>
      </c>
      <c r="D2" s="4" t="s">
        <v>210</v>
      </c>
      <c r="E2" s="5" t="s">
        <v>61</v>
      </c>
      <c r="F2" s="4" t="s">
        <v>211</v>
      </c>
      <c r="G2" s="4" t="s">
        <v>212</v>
      </c>
      <c r="H2" s="4" t="s">
        <v>213</v>
      </c>
      <c r="I2" s="5"/>
    </row>
    <row r="3" ht="113.45" customHeight="1" spans="1:10">
      <c r="A3" s="4" t="s">
        <v>215</v>
      </c>
      <c r="B3" s="4" t="s">
        <v>216</v>
      </c>
      <c r="C3" s="4" t="s">
        <v>217</v>
      </c>
      <c r="D3" s="4" t="s">
        <v>218</v>
      </c>
      <c r="E3" s="5" t="s">
        <v>61</v>
      </c>
      <c r="F3" s="4" t="s">
        <v>219</v>
      </c>
      <c r="G3" s="4" t="s">
        <v>220</v>
      </c>
      <c r="H3" s="4" t="s">
        <v>221</v>
      </c>
      <c r="I3" s="5"/>
    </row>
    <row r="4" ht="142.15" customHeight="1" spans="1:10">
      <c r="A4" s="8" t="s">
        <v>230</v>
      </c>
      <c r="B4" s="8" t="s">
        <v>231</v>
      </c>
      <c r="C4" s="8" t="s">
        <v>232</v>
      </c>
      <c r="D4" s="8" t="s">
        <v>233</v>
      </c>
      <c r="E4" s="9" t="s">
        <v>14</v>
      </c>
      <c r="F4" s="8" t="s">
        <v>234</v>
      </c>
      <c r="G4" s="8"/>
      <c r="H4" s="8" t="s">
        <v>235</v>
      </c>
      <c r="I4" s="9"/>
    </row>
    <row r="5" ht="130.9" customHeight="1" spans="1:10">
      <c r="A5" s="4" t="s">
        <v>245</v>
      </c>
      <c r="B5" s="4" t="s">
        <v>246</v>
      </c>
      <c r="C5" s="4" t="s">
        <v>247</v>
      </c>
      <c r="D5" s="4" t="s">
        <v>248</v>
      </c>
      <c r="E5" s="5" t="s">
        <v>61</v>
      </c>
      <c r="F5" s="4" t="s">
        <v>249</v>
      </c>
      <c r="G5" s="4" t="s">
        <v>250</v>
      </c>
      <c r="H5" s="4" t="s">
        <v>251</v>
      </c>
      <c r="I5" s="5"/>
    </row>
    <row r="6" ht="168" spans="1:10">
      <c r="A6" s="4" t="s">
        <v>140</v>
      </c>
      <c r="B6" s="4" t="s">
        <v>141</v>
      </c>
      <c r="C6" s="4" t="s">
        <v>142</v>
      </c>
      <c r="D6" s="4" t="s">
        <v>143</v>
      </c>
      <c r="E6" s="5" t="s">
        <v>61</v>
      </c>
      <c r="F6" s="4" t="s">
        <v>144</v>
      </c>
      <c r="G6" s="4"/>
      <c r="H6" s="4" t="s">
        <v>145</v>
      </c>
    </row>
    <row r="7" ht="238.15" customHeight="1" spans="1:10">
      <c r="A7" s="4" t="s">
        <v>199</v>
      </c>
      <c r="B7" s="4" t="s">
        <v>200</v>
      </c>
      <c r="C7" s="4" t="s">
        <v>201</v>
      </c>
      <c r="D7" s="4" t="s">
        <v>202</v>
      </c>
      <c r="E7" s="5" t="s">
        <v>61</v>
      </c>
      <c r="F7" s="4" t="s">
        <v>203</v>
      </c>
      <c r="G7" s="4" t="s">
        <v>122</v>
      </c>
      <c r="H7" s="4" t="s">
        <v>204</v>
      </c>
    </row>
  </sheetData>
  <autoFilter xmlns:etc="http://www.wps.cn/officeDocument/2017/etCustomData" ref="A1:J7" etc:filterBottomFollowUsedRange="0">
    <extLst/>
  </autoFilter>
  <pageMargins left="0.7" right="0.7" top="0.75" bottom="0.75" header="0.3" footer="0.3"/>
  <pageSetup paperSize="9"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
  <sheetViews>
    <sheetView topLeftCell="A5" workbookViewId="0">
      <selection activeCell="C8" sqref="C8"/>
    </sheetView>
  </sheetViews>
  <sheetFormatPr defaultColWidth="9" defaultRowHeight="14"/>
  <cols>
    <col min="1" max="1" width="17.7545454545455" customWidth="1"/>
    <col min="2" max="2" width="27.8727272727273" customWidth="1"/>
    <col min="3" max="3" width="57" customWidth="1"/>
    <col min="4" max="4" width="25.8727272727273" customWidth="1"/>
    <col min="5" max="5" width="4.75454545454545" customWidth="1"/>
    <col min="6" max="6" width="50.5" customWidth="1"/>
  </cols>
  <sheetData>
    <row r="1" s="2" customFormat="1" ht="28" spans="1:10">
      <c r="A1" s="4" t="s">
        <v>0</v>
      </c>
      <c r="B1" s="4" t="s">
        <v>1</v>
      </c>
      <c r="C1" s="4" t="s">
        <v>2</v>
      </c>
      <c r="D1" s="4" t="s">
        <v>3</v>
      </c>
      <c r="E1" s="5" t="s">
        <v>4</v>
      </c>
      <c r="F1" s="4" t="s">
        <v>5</v>
      </c>
      <c r="G1" s="4" t="s">
        <v>6</v>
      </c>
      <c r="H1" s="4" t="s">
        <v>7</v>
      </c>
      <c r="I1" s="5" t="s">
        <v>8</v>
      </c>
      <c r="J1" s="2" t="s">
        <v>9</v>
      </c>
    </row>
    <row r="2" s="3" customFormat="1" ht="36.6" customHeight="1" spans="1:10">
      <c r="A2" s="6" t="s">
        <v>189</v>
      </c>
      <c r="B2" s="6" t="s">
        <v>190</v>
      </c>
      <c r="C2" s="6" t="s">
        <v>191</v>
      </c>
      <c r="D2" s="6" t="s">
        <v>192</v>
      </c>
      <c r="E2" s="7" t="s">
        <v>193</v>
      </c>
      <c r="F2" s="6" t="s">
        <v>193</v>
      </c>
      <c r="G2" s="6"/>
      <c r="H2" s="6"/>
      <c r="I2" s="7"/>
    </row>
    <row r="3" ht="56.45" customHeight="1" spans="1:10">
      <c r="A3" s="8" t="s">
        <v>194</v>
      </c>
      <c r="B3" s="8" t="s">
        <v>195</v>
      </c>
      <c r="C3" s="8" t="s">
        <v>196</v>
      </c>
      <c r="D3" s="8" t="s">
        <v>197</v>
      </c>
      <c r="E3" s="9" t="s">
        <v>193</v>
      </c>
      <c r="F3" s="8" t="s">
        <v>198</v>
      </c>
      <c r="G3" s="8"/>
      <c r="H3" s="8"/>
      <c r="I3" s="9"/>
    </row>
    <row r="4" s="3" customFormat="1" ht="117.6" customHeight="1" spans="1:10">
      <c r="A4" s="6" t="s">
        <v>236</v>
      </c>
      <c r="B4" s="6" t="s">
        <v>237</v>
      </c>
      <c r="C4" s="6" t="s">
        <v>238</v>
      </c>
      <c r="D4" s="6" t="s">
        <v>239</v>
      </c>
      <c r="E4" s="7" t="s">
        <v>193</v>
      </c>
      <c r="F4" s="6" t="s">
        <v>240</v>
      </c>
      <c r="G4" s="6"/>
      <c r="H4" s="6"/>
      <c r="I4" s="7"/>
    </row>
    <row r="5" s="3" customFormat="1" ht="28" spans="1:10">
      <c r="A5" s="6" t="s">
        <v>241</v>
      </c>
      <c r="B5" s="6" t="s">
        <v>242</v>
      </c>
      <c r="C5" s="6" t="s">
        <v>243</v>
      </c>
      <c r="D5" s="6" t="s">
        <v>242</v>
      </c>
      <c r="E5" s="7" t="s">
        <v>193</v>
      </c>
      <c r="F5" s="6" t="s">
        <v>244</v>
      </c>
      <c r="G5" s="6"/>
      <c r="H5" s="6"/>
      <c r="I5" s="7"/>
    </row>
    <row r="6" s="3" customFormat="1" ht="60.6" customHeight="1" spans="1:10">
      <c r="A6" s="6" t="s">
        <v>252</v>
      </c>
      <c r="B6" s="6" t="s">
        <v>190</v>
      </c>
      <c r="C6" s="6" t="s">
        <v>253</v>
      </c>
      <c r="D6" s="6" t="s">
        <v>254</v>
      </c>
      <c r="E6" s="7" t="s">
        <v>193</v>
      </c>
      <c r="F6" s="6" t="s">
        <v>255</v>
      </c>
      <c r="G6" s="6"/>
      <c r="H6" s="6"/>
      <c r="I6" s="7"/>
    </row>
    <row r="7" s="3" customFormat="1" ht="74.45" customHeight="1" spans="1:10">
      <c r="A7" s="6" t="s">
        <v>256</v>
      </c>
      <c r="B7" s="6" t="s">
        <v>242</v>
      </c>
      <c r="C7" s="6" t="s">
        <v>257</v>
      </c>
      <c r="D7" s="6" t="s">
        <v>242</v>
      </c>
      <c r="E7" s="7" t="s">
        <v>193</v>
      </c>
      <c r="F7" s="6" t="s">
        <v>258</v>
      </c>
      <c r="G7" s="6"/>
      <c r="H7" s="6"/>
      <c r="I7" s="7"/>
    </row>
    <row r="8" s="3" customFormat="1" ht="65.45" customHeight="1" spans="1:10">
      <c r="A8" s="6" t="s">
        <v>259</v>
      </c>
      <c r="B8" s="6" t="s">
        <v>242</v>
      </c>
      <c r="C8" s="6" t="s">
        <v>260</v>
      </c>
      <c r="D8" s="6" t="s">
        <v>242</v>
      </c>
      <c r="E8" s="7" t="s">
        <v>193</v>
      </c>
      <c r="F8" s="6" t="s">
        <v>261</v>
      </c>
      <c r="G8" s="6"/>
      <c r="H8" s="6"/>
      <c r="I8" s="7"/>
    </row>
    <row r="9" ht="60" customHeight="1" spans="1:10">
      <c r="A9" s="8" t="s">
        <v>262</v>
      </c>
      <c r="B9" s="8" t="s">
        <v>263</v>
      </c>
      <c r="C9" s="8" t="s">
        <v>264</v>
      </c>
      <c r="D9" s="8" t="s">
        <v>265</v>
      </c>
      <c r="E9" s="9" t="s">
        <v>193</v>
      </c>
      <c r="F9" s="8" t="s">
        <v>266</v>
      </c>
      <c r="G9" s="8"/>
      <c r="H9" s="8"/>
      <c r="I9" s="9"/>
    </row>
    <row r="10" s="3" customFormat="1" ht="42" spans="1:10">
      <c r="A10" s="6" t="s">
        <v>267</v>
      </c>
      <c r="B10" s="6" t="s">
        <v>268</v>
      </c>
      <c r="C10" s="6" t="s">
        <v>269</v>
      </c>
      <c r="D10" s="6" t="s">
        <v>270</v>
      </c>
      <c r="E10" s="7" t="s">
        <v>193</v>
      </c>
      <c r="F10" s="6" t="s">
        <v>271</v>
      </c>
      <c r="G10" s="6"/>
      <c r="H10" s="6"/>
      <c r="I10" s="7"/>
    </row>
    <row r="11" s="3" customFormat="1" ht="42" spans="1:10">
      <c r="A11" s="6" t="s">
        <v>272</v>
      </c>
      <c r="B11" s="6" t="s">
        <v>273</v>
      </c>
      <c r="C11" s="6" t="s">
        <v>274</v>
      </c>
      <c r="D11" s="6" t="s">
        <v>275</v>
      </c>
      <c r="E11" s="7" t="s">
        <v>193</v>
      </c>
      <c r="F11" s="6" t="s">
        <v>276</v>
      </c>
      <c r="G11" s="6"/>
      <c r="H11" s="6"/>
      <c r="I11" s="7"/>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
  <sheetViews>
    <sheetView workbookViewId="0">
      <selection activeCell="B6" sqref="B2:B6"/>
    </sheetView>
  </sheetViews>
  <sheetFormatPr defaultColWidth="9" defaultRowHeight="14" outlineLevelRow="7" outlineLevelCol="1"/>
  <cols>
    <col min="1" max="1" width="17.2545454545455" customWidth="1"/>
  </cols>
  <sheetData>
    <row r="1" spans="1:2">
      <c r="A1" s="1" t="s">
        <v>288</v>
      </c>
      <c r="B1" s="1" t="s">
        <v>289</v>
      </c>
    </row>
    <row r="2" spans="1:2">
      <c r="A2" s="1" t="s">
        <v>290</v>
      </c>
      <c r="B2" s="1">
        <v>3</v>
      </c>
    </row>
    <row r="3" ht="13.9" customHeight="1" spans="1:2">
      <c r="A3" s="1" t="s">
        <v>291</v>
      </c>
      <c r="B3" s="1">
        <v>7</v>
      </c>
    </row>
    <row r="4" spans="1:2">
      <c r="A4" s="1" t="s">
        <v>292</v>
      </c>
      <c r="B4" s="1">
        <v>6</v>
      </c>
    </row>
    <row r="5" spans="1:2">
      <c r="A5" s="1" t="s">
        <v>293</v>
      </c>
      <c r="B5" s="1">
        <v>9</v>
      </c>
    </row>
    <row r="6" spans="1:2">
      <c r="A6" s="1" t="s">
        <v>294</v>
      </c>
      <c r="B6" s="1">
        <v>6</v>
      </c>
    </row>
    <row r="7" spans="1:2">
      <c r="A7" s="1" t="s">
        <v>295</v>
      </c>
      <c r="B7" s="1">
        <v>10</v>
      </c>
    </row>
    <row r="8" spans="1:2">
      <c r="B8">
        <f>SUM(B2:B7)</f>
        <v>41</v>
      </c>
    </row>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告警主规则</vt:lpstr>
      <vt:lpstr>简单直接逻辑判断</vt:lpstr>
      <vt:lpstr>定时任务</vt:lpstr>
      <vt:lpstr>跨对象取值判断</vt:lpstr>
      <vt:lpstr>AI算法</vt:lpstr>
      <vt:lpstr>插件</vt:lpstr>
      <vt:lpstr>其他</vt:lpstr>
      <vt:lpstr>统计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Yan</cp:lastModifiedBy>
  <dcterms:created xsi:type="dcterms:W3CDTF">2006-09-16T00:00:00Z</dcterms:created>
  <dcterms:modified xsi:type="dcterms:W3CDTF">2026-09-18T07:16:45Z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F59EC54491434B71AD36697461360304_12</vt:lpwstr>
  </property>
  <property fmtid="{D5CDD505-2E9C-101B-9397-08002B2CF9AE}" pid="3" name="KSOProductBuildVer">
    <vt:lpwstr>2052-12.1.0.28505</vt:lpwstr>
  </property>
  <property fmtid="{D5CDD505-2E9C-101B-9397-08002B2CF9AE}" pid="4" name="CalculationRule">
    <vt:i4>0</vt:i4>
  </property>
</Properties>
</file>